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7da4013f12f6092/Documents/"/>
    </mc:Choice>
  </mc:AlternateContent>
  <xr:revisionPtr revIDLastSave="0" documentId="8_{582B2E75-3682-4CD6-8D6C-9EB85A0C854B}" xr6:coauthVersionLast="47" xr6:coauthVersionMax="47" xr10:uidLastSave="{00000000-0000-0000-0000-000000000000}"/>
  <bookViews>
    <workbookView xWindow="-108" yWindow="-108" windowWidth="23256" windowHeight="12456" activeTab="3" xr2:uid="{85C91AA1-C8FA-4FF3-8CEC-3E47BB0D4CA1}"/>
  </bookViews>
  <sheets>
    <sheet name="Tableau" sheetId="1" r:id="rId1"/>
    <sheet name="TCD" sheetId="10" r:id="rId2"/>
    <sheet name="Analyse " sheetId="3" r:id="rId3"/>
    <sheet name="Graphique" sheetId="4" r:id="rId4"/>
  </sheets>
  <calcPr calcId="191029"/>
  <pivotCaches>
    <pivotCache cacheId="71" r:id="rId5"/>
    <pivotCache cacheId="58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4" l="1"/>
  <c r="C8" i="4"/>
  <c r="C9" i="4"/>
  <c r="C10" i="4"/>
  <c r="J10" i="3"/>
  <c r="J9" i="3"/>
  <c r="J8" i="3"/>
  <c r="L2" i="1"/>
  <c r="I8" i="3"/>
  <c r="I9" i="3"/>
  <c r="I10" i="3"/>
  <c r="H10" i="3"/>
  <c r="H9" i="3"/>
  <c r="H8" i="3"/>
  <c r="G9" i="3"/>
  <c r="G10" i="3"/>
  <c r="F8" i="3"/>
  <c r="E9" i="3"/>
  <c r="E8" i="3"/>
  <c r="G8" i="3"/>
  <c r="F10" i="3"/>
  <c r="F9" i="3"/>
  <c r="E10" i="3"/>
  <c r="L4" i="1"/>
  <c r="J34" i="1"/>
  <c r="J28" i="1"/>
  <c r="J19" i="1"/>
  <c r="L3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20" i="1"/>
  <c r="J21" i="1"/>
  <c r="J22" i="1"/>
  <c r="J23" i="1"/>
  <c r="J24" i="1"/>
  <c r="J25" i="1"/>
  <c r="J26" i="1"/>
  <c r="J27" i="1"/>
  <c r="J29" i="1"/>
  <c r="J30" i="1"/>
  <c r="J31" i="1"/>
  <c r="J32" i="1"/>
  <c r="J33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C6" i="4"/>
  <c r="K92" i="1" l="1"/>
  <c r="E14" i="3"/>
  <c r="M87" i="1" s="1"/>
  <c r="M91" i="1"/>
  <c r="M79" i="1"/>
  <c r="M67" i="1"/>
  <c r="H11" i="3"/>
  <c r="H12" i="3"/>
  <c r="E11" i="3"/>
  <c r="M9" i="3"/>
  <c r="K10" i="3"/>
  <c r="I11" i="3"/>
  <c r="K8" i="3"/>
  <c r="M10" i="3"/>
  <c r="J11" i="3"/>
  <c r="M8" i="3"/>
  <c r="G11" i="3"/>
  <c r="F11" i="3"/>
  <c r="L10" i="3"/>
  <c r="L8" i="3"/>
  <c r="L9" i="3"/>
  <c r="K9" i="3"/>
  <c r="E4" i="3"/>
  <c r="E3" i="3"/>
  <c r="E1" i="3"/>
  <c r="E2" i="3"/>
  <c r="M24" i="1" l="1"/>
  <c r="M12" i="1"/>
  <c r="M36" i="1"/>
  <c r="M48" i="1"/>
  <c r="M6" i="1"/>
  <c r="M14" i="1"/>
  <c r="M18" i="1"/>
  <c r="M46" i="1"/>
  <c r="M51" i="1"/>
  <c r="M54" i="1"/>
  <c r="M70" i="1"/>
  <c r="M75" i="1"/>
  <c r="M80" i="1"/>
  <c r="M73" i="1"/>
  <c r="M5" i="1"/>
  <c r="M85" i="1"/>
  <c r="M9" i="1"/>
  <c r="M21" i="1"/>
  <c r="M26" i="1"/>
  <c r="M30" i="1"/>
  <c r="M42" i="1"/>
  <c r="M58" i="1"/>
  <c r="M63" i="1"/>
  <c r="M55" i="1"/>
  <c r="M82" i="1"/>
  <c r="K11" i="3"/>
  <c r="M33" i="1"/>
  <c r="M11" i="1"/>
  <c r="M60" i="1"/>
  <c r="M38" i="1"/>
  <c r="M3" i="1"/>
  <c r="M17" i="1"/>
  <c r="M66" i="1"/>
  <c r="M2" i="1"/>
  <c r="M45" i="1"/>
  <c r="M23" i="1"/>
  <c r="M72" i="1"/>
  <c r="M50" i="1"/>
  <c r="M16" i="1"/>
  <c r="M29" i="1"/>
  <c r="M78" i="1"/>
  <c r="M8" i="1"/>
  <c r="M57" i="1"/>
  <c r="M35" i="1"/>
  <c r="M84" i="1"/>
  <c r="M62" i="1"/>
  <c r="M28" i="1"/>
  <c r="M11" i="3"/>
  <c r="M41" i="1"/>
  <c r="M90" i="1"/>
  <c r="M20" i="1"/>
  <c r="M69" i="1"/>
  <c r="M47" i="1"/>
  <c r="M13" i="1"/>
  <c r="M74" i="1"/>
  <c r="M40" i="1"/>
  <c r="M53" i="1"/>
  <c r="M7" i="1"/>
  <c r="M32" i="1"/>
  <c r="M81" i="1"/>
  <c r="M59" i="1"/>
  <c r="M25" i="1"/>
  <c r="M86" i="1"/>
  <c r="M52" i="1"/>
  <c r="M65" i="1"/>
  <c r="M19" i="1"/>
  <c r="M44" i="1"/>
  <c r="M10" i="1"/>
  <c r="M71" i="1"/>
  <c r="M37" i="1"/>
  <c r="M15" i="1"/>
  <c r="M64" i="1"/>
  <c r="M77" i="1"/>
  <c r="M31" i="1"/>
  <c r="M56" i="1"/>
  <c r="M22" i="1"/>
  <c r="M83" i="1"/>
  <c r="M49" i="1"/>
  <c r="M27" i="1"/>
  <c r="M76" i="1"/>
  <c r="M89" i="1"/>
  <c r="M43" i="1"/>
  <c r="M68" i="1"/>
  <c r="M34" i="1"/>
  <c r="M4" i="1"/>
  <c r="M61" i="1"/>
  <c r="M39" i="1"/>
  <c r="M88" i="1"/>
  <c r="L11" i="3"/>
</calcChain>
</file>

<file path=xl/sharedStrings.xml><?xml version="1.0" encoding="utf-8"?>
<sst xmlns="http://schemas.openxmlformats.org/spreadsheetml/2006/main" count="407" uniqueCount="89">
  <si>
    <t>Date</t>
  </si>
  <si>
    <t>Canal</t>
  </si>
  <si>
    <t>Impressions</t>
  </si>
  <si>
    <t>Clicks</t>
  </si>
  <si>
    <t>Dépenses (FCFA)</t>
  </si>
  <si>
    <t>Conversions</t>
  </si>
  <si>
    <t>Revenus (FCFA)</t>
  </si>
  <si>
    <t>Facebook Ads</t>
  </si>
  <si>
    <t>Google Ads</t>
  </si>
  <si>
    <t>Instagram Ads</t>
  </si>
  <si>
    <t>Taux de conversion</t>
  </si>
  <si>
    <t>CTR (taux de click par vue)</t>
  </si>
  <si>
    <t>CPA (cout par conversion)</t>
  </si>
  <si>
    <t>ROAS (rentabilité des depenses)</t>
  </si>
  <si>
    <t>Étiquettes de lignes</t>
  </si>
  <si>
    <t>(vide)</t>
  </si>
  <si>
    <t>Total général</t>
  </si>
  <si>
    <t>Somme de CTR (taux de click par vue)</t>
  </si>
  <si>
    <t>FACEBOOK ADS</t>
  </si>
  <si>
    <t>FACEBOOK ADS :</t>
  </si>
  <si>
    <t>GOOGLE ADS</t>
  </si>
  <si>
    <t>MOYENNE CPC TOTAL</t>
  </si>
  <si>
    <t>GOOGLE ADS :</t>
  </si>
  <si>
    <t>INSTAGRAN ADS :</t>
  </si>
  <si>
    <t>CANAL</t>
  </si>
  <si>
    <t>SOMME IMPRESSIONS</t>
  </si>
  <si>
    <t>SOMME CLICKS</t>
  </si>
  <si>
    <t>SOMME CONVERSIONS</t>
  </si>
  <si>
    <t>CPA REEL</t>
  </si>
  <si>
    <t>ROAS REEL</t>
  </si>
  <si>
    <t>CTR REEL (taux de clicks)</t>
  </si>
  <si>
    <t>DEPENSE</t>
  </si>
  <si>
    <t>CONVERSION</t>
  </si>
  <si>
    <t>CPA (cout par click)</t>
  </si>
  <si>
    <t>REVENUES</t>
  </si>
  <si>
    <t>TOTAL</t>
  </si>
  <si>
    <t>INSTAGRAM ADS</t>
  </si>
  <si>
    <t>Somme de Dépenses (FCFA)</t>
  </si>
  <si>
    <t>Somme de Taux de conversion</t>
  </si>
  <si>
    <t>Somme de CPA (cout par conversion)</t>
  </si>
  <si>
    <t>Somme de ROAS (rentabilité des depenses)</t>
  </si>
  <si>
    <t>Somme de Impressions</t>
  </si>
  <si>
    <t>Somme de Conversions</t>
  </si>
  <si>
    <t>Somme de Revenus (FCFA)</t>
  </si>
  <si>
    <t>&lt;01/02/2026</t>
  </si>
  <si>
    <t>févr</t>
  </si>
  <si>
    <t>mars</t>
  </si>
  <si>
    <t>01-févr</t>
  </si>
  <si>
    <t>02-févr</t>
  </si>
  <si>
    <t>03-févr</t>
  </si>
  <si>
    <t>04-févr</t>
  </si>
  <si>
    <t>05-févr</t>
  </si>
  <si>
    <t>06-févr</t>
  </si>
  <si>
    <t>07-févr</t>
  </si>
  <si>
    <t>08-févr</t>
  </si>
  <si>
    <t>09-févr</t>
  </si>
  <si>
    <t>10-févr</t>
  </si>
  <si>
    <t>11-févr</t>
  </si>
  <si>
    <t>12-févr</t>
  </si>
  <si>
    <t>13-févr</t>
  </si>
  <si>
    <t>14-févr</t>
  </si>
  <si>
    <t>15-févr</t>
  </si>
  <si>
    <t>16-févr</t>
  </si>
  <si>
    <t>17-févr</t>
  </si>
  <si>
    <t>18-févr</t>
  </si>
  <si>
    <t>19-févr</t>
  </si>
  <si>
    <t>20-févr</t>
  </si>
  <si>
    <t>21-févr</t>
  </si>
  <si>
    <t>22-févr</t>
  </si>
  <si>
    <t>23-févr</t>
  </si>
  <si>
    <t>24-févr</t>
  </si>
  <si>
    <t>25-févr</t>
  </si>
  <si>
    <t>26-févr</t>
  </si>
  <si>
    <t>27-févr</t>
  </si>
  <si>
    <t>28-févr</t>
  </si>
  <si>
    <t>01-mars</t>
  </si>
  <si>
    <t>02-mars</t>
  </si>
  <si>
    <t>Étiquettes de colonnes</t>
  </si>
  <si>
    <t>ROAS GLOBAL</t>
  </si>
  <si>
    <t xml:space="preserve">
Total Conversions</t>
  </si>
  <si>
    <t>Total Revenus</t>
  </si>
  <si>
    <t>CTR Global</t>
  </si>
  <si>
    <t>CPA Global</t>
  </si>
  <si>
    <t>ROAS Global</t>
  </si>
  <si>
    <t>DEPENSE JOUR MOYENNE</t>
  </si>
  <si>
    <t>CPA MOY</t>
  </si>
  <si>
    <t>efficacite</t>
  </si>
  <si>
    <t>Total Somme de Conversions</t>
  </si>
  <si>
    <t>Total Somme de Impressions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</si>
</sst>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center"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NumberForma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43" fontId="5" fillId="0" borderId="0" xfId="1" applyFont="1"/>
    <xf numFmtId="43" fontId="3" fillId="0" borderId="0" xfId="1" applyFont="1"/>
    <xf numFmtId="43" fontId="4" fillId="2" borderId="0" xfId="1" applyFont="1" applyFill="1"/>
    <xf numFmtId="0" fontId="5" fillId="3" borderId="0" xfId="0" applyFont="1" applyFill="1"/>
    <xf numFmtId="1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 indent="1"/>
    </xf>
    <xf numFmtId="43" fontId="0" fillId="0" borderId="0" xfId="0" applyNumberFormat="1"/>
    <xf numFmtId="0" fontId="6" fillId="4" borderId="0" xfId="0" applyFont="1" applyFill="1" applyAlignment="1">
      <alignment wrapText="1"/>
    </xf>
    <xf numFmtId="0" fontId="6" fillId="4" borderId="0" xfId="0" applyFont="1" applyFill="1"/>
    <xf numFmtId="43" fontId="8" fillId="5" borderId="0" xfId="1" applyNumberFormat="1" applyFont="1" applyFill="1"/>
  </cellXfs>
  <cellStyles count="2">
    <cellStyle name="Milliers" xfId="1" builtinId="3"/>
    <cellStyle name="Normal" xfId="0" builtinId="0"/>
  </cellStyles>
  <dxfs count="41"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73" formatCode="_-* #,##0.00000_-;\-* #,##0.00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[Dataset_excel_marketing.xlsx]TCD!Tableau croisé dynamique21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TCD!$I$60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TCD!$H$61:$H$121</c:f>
              <c:multiLvlStrCache>
                <c:ptCount val="30"/>
                <c:lvl>
                  <c:pt idx="0">
                    <c:v>Instagram Ads</c:v>
                  </c:pt>
                  <c:pt idx="1">
                    <c:v>Instagram Ads</c:v>
                  </c:pt>
                  <c:pt idx="2">
                    <c:v>Instagram Ads</c:v>
                  </c:pt>
                  <c:pt idx="3">
                    <c:v>Instagram Ads</c:v>
                  </c:pt>
                  <c:pt idx="4">
                    <c:v>Instagram Ads</c:v>
                  </c:pt>
                  <c:pt idx="5">
                    <c:v>Instagram Ads</c:v>
                  </c:pt>
                  <c:pt idx="6">
                    <c:v>Instagram Ads</c:v>
                  </c:pt>
                  <c:pt idx="7">
                    <c:v>Instagram Ads</c:v>
                  </c:pt>
                  <c:pt idx="8">
                    <c:v>Instagram Ads</c:v>
                  </c:pt>
                  <c:pt idx="9">
                    <c:v>Instagram Ads</c:v>
                  </c:pt>
                  <c:pt idx="10">
                    <c:v>Instagram Ads</c:v>
                  </c:pt>
                  <c:pt idx="11">
                    <c:v>Instagram Ads</c:v>
                  </c:pt>
                  <c:pt idx="12">
                    <c:v>Instagram Ads</c:v>
                  </c:pt>
                  <c:pt idx="13">
                    <c:v>Instagram Ads</c:v>
                  </c:pt>
                  <c:pt idx="14">
                    <c:v>Instagram Ads</c:v>
                  </c:pt>
                  <c:pt idx="15">
                    <c:v>Instagram Ads</c:v>
                  </c:pt>
                  <c:pt idx="16">
                    <c:v>Instagram Ads</c:v>
                  </c:pt>
                  <c:pt idx="17">
                    <c:v>Instagram Ads</c:v>
                  </c:pt>
                  <c:pt idx="18">
                    <c:v>Instagram Ads</c:v>
                  </c:pt>
                  <c:pt idx="19">
                    <c:v>Instagram Ads</c:v>
                  </c:pt>
                  <c:pt idx="20">
                    <c:v>Instagram Ads</c:v>
                  </c:pt>
                  <c:pt idx="21">
                    <c:v>Instagram Ads</c:v>
                  </c:pt>
                  <c:pt idx="22">
                    <c:v>Instagram Ads</c:v>
                  </c:pt>
                  <c:pt idx="23">
                    <c:v>Instagram Ads</c:v>
                  </c:pt>
                  <c:pt idx="24">
                    <c:v>Instagram Ads</c:v>
                  </c:pt>
                  <c:pt idx="25">
                    <c:v>Instagram Ads</c:v>
                  </c:pt>
                  <c:pt idx="26">
                    <c:v>Instagram Ads</c:v>
                  </c:pt>
                  <c:pt idx="27">
                    <c:v>Instagram Ads</c:v>
                  </c:pt>
                  <c:pt idx="28">
                    <c:v>Instagram Ads</c:v>
                  </c:pt>
                  <c:pt idx="29">
                    <c:v>Instagram Ads</c:v>
                  </c:pt>
                </c:lvl>
                <c:lvl>
                  <c:pt idx="0">
                    <c:v>01-févr</c:v>
                  </c:pt>
                  <c:pt idx="1">
                    <c:v>02-févr</c:v>
                  </c:pt>
                  <c:pt idx="2">
                    <c:v>03-févr</c:v>
                  </c:pt>
                  <c:pt idx="3">
                    <c:v>04-févr</c:v>
                  </c:pt>
                  <c:pt idx="4">
                    <c:v>05-févr</c:v>
                  </c:pt>
                  <c:pt idx="5">
                    <c:v>06-févr</c:v>
                  </c:pt>
                  <c:pt idx="6">
                    <c:v>07-févr</c:v>
                  </c:pt>
                  <c:pt idx="7">
                    <c:v>08-févr</c:v>
                  </c:pt>
                  <c:pt idx="8">
                    <c:v>09-févr</c:v>
                  </c:pt>
                  <c:pt idx="9">
                    <c:v>10-févr</c:v>
                  </c:pt>
                  <c:pt idx="10">
                    <c:v>11-févr</c:v>
                  </c:pt>
                  <c:pt idx="11">
                    <c:v>12-févr</c:v>
                  </c:pt>
                  <c:pt idx="12">
                    <c:v>13-févr</c:v>
                  </c:pt>
                  <c:pt idx="13">
                    <c:v>14-févr</c:v>
                  </c:pt>
                  <c:pt idx="14">
                    <c:v>15-févr</c:v>
                  </c:pt>
                  <c:pt idx="15">
                    <c:v>16-févr</c:v>
                  </c:pt>
                  <c:pt idx="16">
                    <c:v>17-févr</c:v>
                  </c:pt>
                  <c:pt idx="17">
                    <c:v>18-févr</c:v>
                  </c:pt>
                  <c:pt idx="18">
                    <c:v>19-févr</c:v>
                  </c:pt>
                  <c:pt idx="19">
                    <c:v>20-févr</c:v>
                  </c:pt>
                  <c:pt idx="20">
                    <c:v>21-févr</c:v>
                  </c:pt>
                  <c:pt idx="21">
                    <c:v>22-févr</c:v>
                  </c:pt>
                  <c:pt idx="22">
                    <c:v>23-févr</c:v>
                  </c:pt>
                  <c:pt idx="23">
                    <c:v>24-févr</c:v>
                  </c:pt>
                  <c:pt idx="24">
                    <c:v>25-févr</c:v>
                  </c:pt>
                  <c:pt idx="25">
                    <c:v>26-févr</c:v>
                  </c:pt>
                  <c:pt idx="26">
                    <c:v>27-févr</c:v>
                  </c:pt>
                  <c:pt idx="27">
                    <c:v>28-févr</c:v>
                  </c:pt>
                  <c:pt idx="28">
                    <c:v>01-mars</c:v>
                  </c:pt>
                  <c:pt idx="29">
                    <c:v>02-mars</c:v>
                  </c:pt>
                </c:lvl>
              </c:multiLvlStrCache>
            </c:multiLvlStrRef>
          </c:cat>
          <c:val>
            <c:numRef>
              <c:f>TCD!$I$61:$I$121</c:f>
              <c:numCache>
                <c:formatCode>General</c:formatCode>
                <c:ptCount val="30"/>
                <c:pt idx="0">
                  <c:v>7.5</c:v>
                </c:pt>
                <c:pt idx="1">
                  <c:v>7.5609756097560972</c:v>
                </c:pt>
                <c:pt idx="2">
                  <c:v>7.4876847290640391</c:v>
                </c:pt>
                <c:pt idx="3">
                  <c:v>7.5845410628019323</c:v>
                </c:pt>
                <c:pt idx="4">
                  <c:v>7.4757281553398061</c:v>
                </c:pt>
                <c:pt idx="5">
                  <c:v>7.5779376498800959</c:v>
                </c:pt>
                <c:pt idx="6">
                  <c:v>7.6555023923444976</c:v>
                </c:pt>
                <c:pt idx="7">
                  <c:v>7.7142857142857144</c:v>
                </c:pt>
                <c:pt idx="8">
                  <c:v>7.783018867924528</c:v>
                </c:pt>
                <c:pt idx="9">
                  <c:v>7.84037558685446</c:v>
                </c:pt>
                <c:pt idx="10">
                  <c:v>7.9069767441860463</c:v>
                </c:pt>
                <c:pt idx="11">
                  <c:v>7.9629629629629628</c:v>
                </c:pt>
                <c:pt idx="12">
                  <c:v>7.9816513761467887</c:v>
                </c:pt>
                <c:pt idx="13">
                  <c:v>7.9545454545454541</c:v>
                </c:pt>
                <c:pt idx="14">
                  <c:v>7.9729729729729728</c:v>
                </c:pt>
                <c:pt idx="15">
                  <c:v>8.0269058295964122</c:v>
                </c:pt>
                <c:pt idx="16">
                  <c:v>8</c:v>
                </c:pt>
                <c:pt idx="17">
                  <c:v>8.0176211453744486</c:v>
                </c:pt>
                <c:pt idx="18">
                  <c:v>8.0701754385964914</c:v>
                </c:pt>
                <c:pt idx="19">
                  <c:v>8.0434782608695645</c:v>
                </c:pt>
                <c:pt idx="20">
                  <c:v>8.0603448275862064</c:v>
                </c:pt>
                <c:pt idx="21">
                  <c:v>8.0769230769230766</c:v>
                </c:pt>
                <c:pt idx="22">
                  <c:v>8.0932203389830502</c:v>
                </c:pt>
                <c:pt idx="23">
                  <c:v>8.1092436974789912</c:v>
                </c:pt>
                <c:pt idx="24">
                  <c:v>8.125</c:v>
                </c:pt>
                <c:pt idx="25">
                  <c:v>8.1404958677685944</c:v>
                </c:pt>
                <c:pt idx="26">
                  <c:v>8.1557377049180335</c:v>
                </c:pt>
                <c:pt idx="27">
                  <c:v>8.1300813008130088</c:v>
                </c:pt>
                <c:pt idx="28">
                  <c:v>8.1451612903225801</c:v>
                </c:pt>
                <c:pt idx="29">
                  <c:v>8.16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65-4C96-A008-EB6EC0FC8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3757360"/>
        <c:axId val="683757840"/>
      </c:lineChart>
      <c:catAx>
        <c:axId val="68375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3757840"/>
        <c:crosses val="autoZero"/>
        <c:auto val="1"/>
        <c:lblAlgn val="ctr"/>
        <c:lblOffset val="100"/>
        <c:noMultiLvlLbl val="0"/>
      </c:catAx>
      <c:valAx>
        <c:axId val="68375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375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[Dataset_excel_marketing.xlsx]TCD!Tableau croisé dynamique16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TCD!$I$43:$I$44</c:f>
              <c:strCache>
                <c:ptCount val="1"/>
                <c:pt idx="0">
                  <c:v>Facebook Ads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TCD!$H$45:$H$47</c:f>
              <c:strCache>
                <c:ptCount val="2"/>
                <c:pt idx="0">
                  <c:v>févr</c:v>
                </c:pt>
                <c:pt idx="1">
                  <c:v>mars</c:v>
                </c:pt>
              </c:strCache>
            </c:strRef>
          </c:cat>
          <c:val>
            <c:numRef>
              <c:f>TCD!$I$45:$I$47</c:f>
              <c:numCache>
                <c:formatCode>_(* #,##0.00_);_(* \(#,##0.00\);_(* "-"??_);_(@_)</c:formatCode>
                <c:ptCount val="2"/>
                <c:pt idx="0">
                  <c:v>207.16779678724239</c:v>
                </c:pt>
                <c:pt idx="1">
                  <c:v>15.55550516959913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36-486E-9500-B8D1C29647B8}"/>
            </c:ext>
          </c:extLst>
        </c:ser>
        <c:ser>
          <c:idx val="1"/>
          <c:order val="1"/>
          <c:tx>
            <c:strRef>
              <c:f>TCD!$J$43:$J$44</c:f>
              <c:strCache>
                <c:ptCount val="1"/>
                <c:pt idx="0">
                  <c:v>Google Ads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TCD!$H$45:$H$47</c:f>
              <c:strCache>
                <c:ptCount val="2"/>
                <c:pt idx="0">
                  <c:v>févr</c:v>
                </c:pt>
                <c:pt idx="1">
                  <c:v>mars</c:v>
                </c:pt>
              </c:strCache>
            </c:strRef>
          </c:cat>
          <c:val>
            <c:numRef>
              <c:f>TCD!$J$45:$J$47</c:f>
              <c:numCache>
                <c:formatCode>_(* #,##0.00_);_(* \(#,##0.00\);_(* "-"??_);_(@_)</c:formatCode>
                <c:ptCount val="2"/>
                <c:pt idx="0">
                  <c:v>239.09703075784333</c:v>
                </c:pt>
                <c:pt idx="1">
                  <c:v>17.398354876615748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36-486E-9500-B8D1C29647B8}"/>
            </c:ext>
          </c:extLst>
        </c:ser>
        <c:ser>
          <c:idx val="2"/>
          <c:order val="2"/>
          <c:tx>
            <c:strRef>
              <c:f>TCD!$K$43:$K$44</c:f>
              <c:strCache>
                <c:ptCount val="1"/>
                <c:pt idx="0">
                  <c:v>Instagram Ads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TCD!$H$45:$H$47</c:f>
              <c:strCache>
                <c:ptCount val="2"/>
                <c:pt idx="0">
                  <c:v>févr</c:v>
                </c:pt>
                <c:pt idx="1">
                  <c:v>mars</c:v>
                </c:pt>
              </c:strCache>
            </c:strRef>
          </c:cat>
          <c:val>
            <c:numRef>
              <c:f>TCD!$K$45:$K$47</c:f>
              <c:numCache>
                <c:formatCode>_(* #,##0.00_);_(* \(#,##0.00\);_(* "-"??_);_(@_)</c:formatCode>
                <c:ptCount val="2"/>
                <c:pt idx="0">
                  <c:v>221.00838676797332</c:v>
                </c:pt>
                <c:pt idx="1">
                  <c:v>16.30516129032258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36-486E-9500-B8D1C2964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0440000"/>
        <c:axId val="480441440"/>
      </c:barChart>
      <c:catAx>
        <c:axId val="48044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80441440"/>
        <c:crosses val="autoZero"/>
        <c:auto val="1"/>
        <c:lblAlgn val="ctr"/>
        <c:lblOffset val="100"/>
        <c:noMultiLvlLbl val="0"/>
      </c:catAx>
      <c:valAx>
        <c:axId val="48044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8044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[Dataset_excel_marketing.xlsx]TCD!Tableau croisé dynamique17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TCD!$I$26:$I$27</c:f>
              <c:strCache>
                <c:ptCount val="1"/>
                <c:pt idx="0">
                  <c:v>Facebook Ads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TCD!$H$28:$H$30</c:f>
              <c:strCache>
                <c:ptCount val="2"/>
                <c:pt idx="0">
                  <c:v>févr</c:v>
                </c:pt>
                <c:pt idx="1">
                  <c:v>mars</c:v>
                </c:pt>
              </c:strCache>
            </c:strRef>
          </c:cat>
          <c:val>
            <c:numRef>
              <c:f>TCD!$I$28:$I$30</c:f>
              <c:numCache>
                <c:formatCode>_(* #,##0.00_);_(* \(#,##0.00\);_(* "-"??_);_(@_)</c:formatCode>
                <c:ptCount val="2"/>
                <c:pt idx="0">
                  <c:v>34278.78865471785</c:v>
                </c:pt>
                <c:pt idx="1">
                  <c:v>2048.2758620689656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10-4932-8809-58A1FE78191A}"/>
            </c:ext>
          </c:extLst>
        </c:ser>
        <c:ser>
          <c:idx val="1"/>
          <c:order val="1"/>
          <c:tx>
            <c:strRef>
              <c:f>TCD!$J$26:$J$27</c:f>
              <c:strCache>
                <c:ptCount val="1"/>
                <c:pt idx="0">
                  <c:v>Google Ads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TCD!$H$28:$H$30</c:f>
              <c:strCache>
                <c:ptCount val="2"/>
                <c:pt idx="0">
                  <c:v>févr</c:v>
                </c:pt>
                <c:pt idx="1">
                  <c:v>mars</c:v>
                </c:pt>
              </c:strCache>
            </c:strRef>
          </c:cat>
          <c:val>
            <c:numRef>
              <c:f>TCD!$J$28:$J$30</c:f>
              <c:numCache>
                <c:formatCode>_(* #,##0.00_);_(* \(#,##0.00\);_(* "-"??_);_(@_)</c:formatCode>
                <c:ptCount val="2"/>
                <c:pt idx="0">
                  <c:v>29798.612509823186</c:v>
                </c:pt>
                <c:pt idx="1">
                  <c:v>1892.3076923076924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10-4932-8809-58A1FE78191A}"/>
            </c:ext>
          </c:extLst>
        </c:ser>
        <c:ser>
          <c:idx val="2"/>
          <c:order val="2"/>
          <c:tx>
            <c:strRef>
              <c:f>TCD!$K$26:$K$27</c:f>
              <c:strCache>
                <c:ptCount val="1"/>
                <c:pt idx="0">
                  <c:v>Instagram Ads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TCD!$H$28:$H$30</c:f>
              <c:strCache>
                <c:ptCount val="2"/>
                <c:pt idx="0">
                  <c:v>févr</c:v>
                </c:pt>
                <c:pt idx="1">
                  <c:v>mars</c:v>
                </c:pt>
              </c:strCache>
            </c:strRef>
          </c:cat>
          <c:val>
            <c:numRef>
              <c:f>TCD!$K$28:$K$30</c:f>
              <c:numCache>
                <c:formatCode>_(* #,##0.00_);_(* \(#,##0.00\);_(* "-"??_);_(@_)</c:formatCode>
                <c:ptCount val="2"/>
                <c:pt idx="0">
                  <c:v>33162.13411286781</c:v>
                </c:pt>
                <c:pt idx="1">
                  <c:v>2075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10-4932-8809-58A1FE781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6116416"/>
        <c:axId val="1034389263"/>
      </c:barChart>
      <c:catAx>
        <c:axId val="47611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34389263"/>
        <c:crosses val="autoZero"/>
        <c:auto val="1"/>
        <c:lblAlgn val="ctr"/>
        <c:lblOffset val="100"/>
        <c:noMultiLvlLbl val="0"/>
      </c:catAx>
      <c:valAx>
        <c:axId val="1034389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6116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[Dataset_excel_marketing.xlsx]TCD!Tableau croisé dynamique9</c:name>
    <c:fmtId val="17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TCD!$B$18:$B$19</c:f>
              <c:strCache>
                <c:ptCount val="1"/>
                <c:pt idx="0">
                  <c:v>Facebook Ads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TCD!$A$20:$A$52</c:f>
              <c:multiLvlStrCache>
                <c:ptCount val="30"/>
                <c:lvl>
                  <c:pt idx="0">
                    <c:v>01-févr</c:v>
                  </c:pt>
                  <c:pt idx="1">
                    <c:v>02-févr</c:v>
                  </c:pt>
                  <c:pt idx="2">
                    <c:v>03-févr</c:v>
                  </c:pt>
                  <c:pt idx="3">
                    <c:v>04-févr</c:v>
                  </c:pt>
                  <c:pt idx="4">
                    <c:v>05-févr</c:v>
                  </c:pt>
                  <c:pt idx="5">
                    <c:v>06-févr</c:v>
                  </c:pt>
                  <c:pt idx="6">
                    <c:v>07-févr</c:v>
                  </c:pt>
                  <c:pt idx="7">
                    <c:v>08-févr</c:v>
                  </c:pt>
                  <c:pt idx="8">
                    <c:v>09-févr</c:v>
                  </c:pt>
                  <c:pt idx="9">
                    <c:v>10-févr</c:v>
                  </c:pt>
                  <c:pt idx="10">
                    <c:v>11-févr</c:v>
                  </c:pt>
                  <c:pt idx="11">
                    <c:v>12-févr</c:v>
                  </c:pt>
                  <c:pt idx="12">
                    <c:v>13-févr</c:v>
                  </c:pt>
                  <c:pt idx="13">
                    <c:v>14-févr</c:v>
                  </c:pt>
                  <c:pt idx="14">
                    <c:v>15-févr</c:v>
                  </c:pt>
                  <c:pt idx="15">
                    <c:v>16-févr</c:v>
                  </c:pt>
                  <c:pt idx="16">
                    <c:v>17-févr</c:v>
                  </c:pt>
                  <c:pt idx="17">
                    <c:v>18-févr</c:v>
                  </c:pt>
                  <c:pt idx="18">
                    <c:v>19-févr</c:v>
                  </c:pt>
                  <c:pt idx="19">
                    <c:v>20-févr</c:v>
                  </c:pt>
                  <c:pt idx="20">
                    <c:v>21-févr</c:v>
                  </c:pt>
                  <c:pt idx="21">
                    <c:v>22-févr</c:v>
                  </c:pt>
                  <c:pt idx="22">
                    <c:v>23-févr</c:v>
                  </c:pt>
                  <c:pt idx="23">
                    <c:v>24-févr</c:v>
                  </c:pt>
                  <c:pt idx="24">
                    <c:v>25-févr</c:v>
                  </c:pt>
                  <c:pt idx="25">
                    <c:v>26-févr</c:v>
                  </c:pt>
                  <c:pt idx="26">
                    <c:v>27-févr</c:v>
                  </c:pt>
                  <c:pt idx="27">
                    <c:v>28-févr</c:v>
                  </c:pt>
                  <c:pt idx="28">
                    <c:v>01-mars</c:v>
                  </c:pt>
                  <c:pt idx="29">
                    <c:v>02-mars</c:v>
                  </c:pt>
                </c:lvl>
                <c:lvl>
                  <c:pt idx="0">
                    <c:v>févr</c:v>
                  </c:pt>
                  <c:pt idx="28">
                    <c:v>mars</c:v>
                  </c:pt>
                </c:lvl>
              </c:multiLvlStrCache>
            </c:multiLvlStrRef>
          </c:cat>
          <c:val>
            <c:numRef>
              <c:f>TCD!$B$20:$B$52</c:f>
              <c:numCache>
                <c:formatCode>_(* #,##0.00_);_(* \(#,##0.00\);_(* "-"??_);_(@_)</c:formatCode>
                <c:ptCount val="30"/>
                <c:pt idx="0">
                  <c:v>0.03</c:v>
                </c:pt>
                <c:pt idx="1">
                  <c:v>3.0327868852459017E-2</c:v>
                </c:pt>
                <c:pt idx="2">
                  <c:v>3.0084745762711865E-2</c:v>
                </c:pt>
                <c:pt idx="3">
                  <c:v>3.0165289256198349E-2</c:v>
                </c:pt>
                <c:pt idx="4">
                  <c:v>3.0292887029288704E-2</c:v>
                </c:pt>
                <c:pt idx="5">
                  <c:v>3.0539419087136928E-2</c:v>
                </c:pt>
                <c:pt idx="6">
                  <c:v>3.0452674897119343E-2</c:v>
                </c:pt>
                <c:pt idx="7">
                  <c:v>3.0491803278688525E-2</c:v>
                </c:pt>
                <c:pt idx="8">
                  <c:v>3.048780487804878E-2</c:v>
                </c:pt>
                <c:pt idx="9">
                  <c:v>3.0483870967741935E-2</c:v>
                </c:pt>
                <c:pt idx="10">
                  <c:v>3.04E-2</c:v>
                </c:pt>
                <c:pt idx="11">
                  <c:v>3.0396825396825398E-2</c:v>
                </c:pt>
                <c:pt idx="12">
                  <c:v>3.0314960629921259E-2</c:v>
                </c:pt>
                <c:pt idx="13">
                  <c:v>3.0312499999999999E-2</c:v>
                </c:pt>
                <c:pt idx="14">
                  <c:v>3.0232558139534883E-2</c:v>
                </c:pt>
                <c:pt idx="15">
                  <c:v>3.0230769230769231E-2</c:v>
                </c:pt>
                <c:pt idx="16">
                  <c:v>3.015267175572519E-2</c:v>
                </c:pt>
                <c:pt idx="17">
                  <c:v>3.0151515151515151E-2</c:v>
                </c:pt>
                <c:pt idx="18">
                  <c:v>3.007518796992481E-2</c:v>
                </c:pt>
                <c:pt idx="19">
                  <c:v>3.0074626865671642E-2</c:v>
                </c:pt>
                <c:pt idx="20">
                  <c:v>0.03</c:v>
                </c:pt>
                <c:pt idx="21">
                  <c:v>0.03</c:v>
                </c:pt>
                <c:pt idx="22">
                  <c:v>2.9927007299270073E-2</c:v>
                </c:pt>
                <c:pt idx="23">
                  <c:v>2.9927536231884058E-2</c:v>
                </c:pt>
                <c:pt idx="24">
                  <c:v>2.985611510791367E-2</c:v>
                </c:pt>
                <c:pt idx="25">
                  <c:v>2.9857142857142856E-2</c:v>
                </c:pt>
                <c:pt idx="26">
                  <c:v>2.9787234042553193E-2</c:v>
                </c:pt>
                <c:pt idx="27">
                  <c:v>2.9788732394366198E-2</c:v>
                </c:pt>
                <c:pt idx="28">
                  <c:v>2.972027972027972E-2</c:v>
                </c:pt>
                <c:pt idx="29">
                  <c:v>2.9722222222222223E-2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A5-4AD7-B1B8-F035EC817219}"/>
            </c:ext>
          </c:extLst>
        </c:ser>
        <c:ser>
          <c:idx val="1"/>
          <c:order val="1"/>
          <c:tx>
            <c:strRef>
              <c:f>TCD!$C$18:$C$19</c:f>
              <c:strCache>
                <c:ptCount val="1"/>
                <c:pt idx="0">
                  <c:v>Google Ads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TCD!$A$20:$A$52</c:f>
              <c:multiLvlStrCache>
                <c:ptCount val="30"/>
                <c:lvl>
                  <c:pt idx="0">
                    <c:v>01-févr</c:v>
                  </c:pt>
                  <c:pt idx="1">
                    <c:v>02-févr</c:v>
                  </c:pt>
                  <c:pt idx="2">
                    <c:v>03-févr</c:v>
                  </c:pt>
                  <c:pt idx="3">
                    <c:v>04-févr</c:v>
                  </c:pt>
                  <c:pt idx="4">
                    <c:v>05-févr</c:v>
                  </c:pt>
                  <c:pt idx="5">
                    <c:v>06-févr</c:v>
                  </c:pt>
                  <c:pt idx="6">
                    <c:v>07-févr</c:v>
                  </c:pt>
                  <c:pt idx="7">
                    <c:v>08-févr</c:v>
                  </c:pt>
                  <c:pt idx="8">
                    <c:v>09-févr</c:v>
                  </c:pt>
                  <c:pt idx="9">
                    <c:v>10-févr</c:v>
                  </c:pt>
                  <c:pt idx="10">
                    <c:v>11-févr</c:v>
                  </c:pt>
                  <c:pt idx="11">
                    <c:v>12-févr</c:v>
                  </c:pt>
                  <c:pt idx="12">
                    <c:v>13-févr</c:v>
                  </c:pt>
                  <c:pt idx="13">
                    <c:v>14-févr</c:v>
                  </c:pt>
                  <c:pt idx="14">
                    <c:v>15-févr</c:v>
                  </c:pt>
                  <c:pt idx="15">
                    <c:v>16-févr</c:v>
                  </c:pt>
                  <c:pt idx="16">
                    <c:v>17-févr</c:v>
                  </c:pt>
                  <c:pt idx="17">
                    <c:v>18-févr</c:v>
                  </c:pt>
                  <c:pt idx="18">
                    <c:v>19-févr</c:v>
                  </c:pt>
                  <c:pt idx="19">
                    <c:v>20-févr</c:v>
                  </c:pt>
                  <c:pt idx="20">
                    <c:v>21-févr</c:v>
                  </c:pt>
                  <c:pt idx="21">
                    <c:v>22-févr</c:v>
                  </c:pt>
                  <c:pt idx="22">
                    <c:v>23-févr</c:v>
                  </c:pt>
                  <c:pt idx="23">
                    <c:v>24-févr</c:v>
                  </c:pt>
                  <c:pt idx="24">
                    <c:v>25-févr</c:v>
                  </c:pt>
                  <c:pt idx="25">
                    <c:v>26-févr</c:v>
                  </c:pt>
                  <c:pt idx="26">
                    <c:v>27-févr</c:v>
                  </c:pt>
                  <c:pt idx="27">
                    <c:v>28-févr</c:v>
                  </c:pt>
                  <c:pt idx="28">
                    <c:v>01-mars</c:v>
                  </c:pt>
                  <c:pt idx="29">
                    <c:v>02-mars</c:v>
                  </c:pt>
                </c:lvl>
                <c:lvl>
                  <c:pt idx="0">
                    <c:v>févr</c:v>
                  </c:pt>
                  <c:pt idx="28">
                    <c:v>mars</c:v>
                  </c:pt>
                </c:lvl>
              </c:multiLvlStrCache>
            </c:multiLvlStrRef>
          </c:cat>
          <c:val>
            <c:numRef>
              <c:f>TCD!$C$20:$C$52</c:f>
              <c:numCache>
                <c:formatCode>_(* #,##0.00_);_(* \(#,##0.00\);_(* "-"??_);_(@_)</c:formatCode>
                <c:ptCount val="30"/>
                <c:pt idx="0">
                  <c:v>0.05</c:v>
                </c:pt>
                <c:pt idx="1">
                  <c:v>0.05</c:v>
                </c:pt>
                <c:pt idx="2">
                  <c:v>4.8765432098765431E-2</c:v>
                </c:pt>
                <c:pt idx="3">
                  <c:v>0.05</c:v>
                </c:pt>
                <c:pt idx="4">
                  <c:v>4.9090909090909088E-2</c:v>
                </c:pt>
                <c:pt idx="5">
                  <c:v>5.005988023952096E-2</c:v>
                </c:pt>
                <c:pt idx="6">
                  <c:v>0.05</c:v>
                </c:pt>
                <c:pt idx="7">
                  <c:v>5.0295857988165681E-2</c:v>
                </c:pt>
                <c:pt idx="8">
                  <c:v>5.0588235294117649E-2</c:v>
                </c:pt>
                <c:pt idx="9">
                  <c:v>5.0877192982456139E-2</c:v>
                </c:pt>
                <c:pt idx="10">
                  <c:v>5.0930232558139533E-2</c:v>
                </c:pt>
                <c:pt idx="11">
                  <c:v>5.086705202312139E-2</c:v>
                </c:pt>
                <c:pt idx="12">
                  <c:v>5.0919540229885055E-2</c:v>
                </c:pt>
                <c:pt idx="13">
                  <c:v>5.0857142857142858E-2</c:v>
                </c:pt>
                <c:pt idx="14">
                  <c:v>5.0909090909090911E-2</c:v>
                </c:pt>
                <c:pt idx="15">
                  <c:v>5.0847457627118647E-2</c:v>
                </c:pt>
                <c:pt idx="16">
                  <c:v>5.0898876404494385E-2</c:v>
                </c:pt>
                <c:pt idx="17">
                  <c:v>5.0837988826815644E-2</c:v>
                </c:pt>
                <c:pt idx="18">
                  <c:v>5.0888888888888886E-2</c:v>
                </c:pt>
                <c:pt idx="19">
                  <c:v>5.0828729281767959E-2</c:v>
                </c:pt>
                <c:pt idx="20">
                  <c:v>5.087912087912088E-2</c:v>
                </c:pt>
                <c:pt idx="21">
                  <c:v>5.0819672131147541E-2</c:v>
                </c:pt>
                <c:pt idx="22">
                  <c:v>5.0869565217391305E-2</c:v>
                </c:pt>
                <c:pt idx="23">
                  <c:v>5.0810810810810812E-2</c:v>
                </c:pt>
                <c:pt idx="24">
                  <c:v>5.0860215053763438E-2</c:v>
                </c:pt>
                <c:pt idx="25">
                  <c:v>5.0802139037433157E-2</c:v>
                </c:pt>
                <c:pt idx="26">
                  <c:v>5.0851063829787234E-2</c:v>
                </c:pt>
                <c:pt idx="27">
                  <c:v>5.0793650793650794E-2</c:v>
                </c:pt>
                <c:pt idx="28">
                  <c:v>5.0842105263157897E-2</c:v>
                </c:pt>
                <c:pt idx="29">
                  <c:v>5.0785340314136125E-2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A5-4AD7-B1B8-F035EC817219}"/>
            </c:ext>
          </c:extLst>
        </c:ser>
        <c:ser>
          <c:idx val="2"/>
          <c:order val="2"/>
          <c:tx>
            <c:strRef>
              <c:f>TCD!$D$18:$D$19</c:f>
              <c:strCache>
                <c:ptCount val="1"/>
                <c:pt idx="0">
                  <c:v>Instagram Ads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TCD!$A$20:$A$52</c:f>
              <c:multiLvlStrCache>
                <c:ptCount val="30"/>
                <c:lvl>
                  <c:pt idx="0">
                    <c:v>01-févr</c:v>
                  </c:pt>
                  <c:pt idx="1">
                    <c:v>02-févr</c:v>
                  </c:pt>
                  <c:pt idx="2">
                    <c:v>03-févr</c:v>
                  </c:pt>
                  <c:pt idx="3">
                    <c:v>04-févr</c:v>
                  </c:pt>
                  <c:pt idx="4">
                    <c:v>05-févr</c:v>
                  </c:pt>
                  <c:pt idx="5">
                    <c:v>06-févr</c:v>
                  </c:pt>
                  <c:pt idx="6">
                    <c:v>07-févr</c:v>
                  </c:pt>
                  <c:pt idx="7">
                    <c:v>08-févr</c:v>
                  </c:pt>
                  <c:pt idx="8">
                    <c:v>09-févr</c:v>
                  </c:pt>
                  <c:pt idx="9">
                    <c:v>10-févr</c:v>
                  </c:pt>
                  <c:pt idx="10">
                    <c:v>11-févr</c:v>
                  </c:pt>
                  <c:pt idx="11">
                    <c:v>12-févr</c:v>
                  </c:pt>
                  <c:pt idx="12">
                    <c:v>13-févr</c:v>
                  </c:pt>
                  <c:pt idx="13">
                    <c:v>14-févr</c:v>
                  </c:pt>
                  <c:pt idx="14">
                    <c:v>15-févr</c:v>
                  </c:pt>
                  <c:pt idx="15">
                    <c:v>16-févr</c:v>
                  </c:pt>
                  <c:pt idx="16">
                    <c:v>17-févr</c:v>
                  </c:pt>
                  <c:pt idx="17">
                    <c:v>18-févr</c:v>
                  </c:pt>
                  <c:pt idx="18">
                    <c:v>19-févr</c:v>
                  </c:pt>
                  <c:pt idx="19">
                    <c:v>20-févr</c:v>
                  </c:pt>
                  <c:pt idx="20">
                    <c:v>21-févr</c:v>
                  </c:pt>
                  <c:pt idx="21">
                    <c:v>22-févr</c:v>
                  </c:pt>
                  <c:pt idx="22">
                    <c:v>23-févr</c:v>
                  </c:pt>
                  <c:pt idx="23">
                    <c:v>24-févr</c:v>
                  </c:pt>
                  <c:pt idx="24">
                    <c:v>25-févr</c:v>
                  </c:pt>
                  <c:pt idx="25">
                    <c:v>26-févr</c:v>
                  </c:pt>
                  <c:pt idx="26">
                    <c:v>27-févr</c:v>
                  </c:pt>
                  <c:pt idx="27">
                    <c:v>28-févr</c:v>
                  </c:pt>
                  <c:pt idx="28">
                    <c:v>01-mars</c:v>
                  </c:pt>
                  <c:pt idx="29">
                    <c:v>02-mars</c:v>
                  </c:pt>
                </c:lvl>
                <c:lvl>
                  <c:pt idx="0">
                    <c:v>févr</c:v>
                  </c:pt>
                  <c:pt idx="28">
                    <c:v>mars</c:v>
                  </c:pt>
                </c:lvl>
              </c:multiLvlStrCache>
            </c:multiLvlStrRef>
          </c:cat>
          <c:val>
            <c:numRef>
              <c:f>TCD!$D$20:$D$52</c:f>
              <c:numCache>
                <c:formatCode>_(* #,##0.00_);_(* \(#,##0.00\);_(* "-"??_);_(@_)</c:formatCode>
                <c:ptCount val="30"/>
                <c:pt idx="0">
                  <c:v>2.5000000000000001E-2</c:v>
                </c:pt>
                <c:pt idx="1">
                  <c:v>2.5490196078431372E-2</c:v>
                </c:pt>
                <c:pt idx="2">
                  <c:v>2.5247524752475249E-2</c:v>
                </c:pt>
                <c:pt idx="3">
                  <c:v>2.5728155339805825E-2</c:v>
                </c:pt>
                <c:pt idx="4">
                  <c:v>2.5560975609756096E-2</c:v>
                </c:pt>
                <c:pt idx="5">
                  <c:v>2.5893719806763284E-2</c:v>
                </c:pt>
                <c:pt idx="6">
                  <c:v>2.5961538461538463E-2</c:v>
                </c:pt>
                <c:pt idx="7">
                  <c:v>2.6028708133971293E-2</c:v>
                </c:pt>
                <c:pt idx="8">
                  <c:v>2.6190476190476191E-2</c:v>
                </c:pt>
                <c:pt idx="9">
                  <c:v>2.6255924170616115E-2</c:v>
                </c:pt>
                <c:pt idx="10">
                  <c:v>2.6415094339622643E-2</c:v>
                </c:pt>
                <c:pt idx="11">
                  <c:v>2.647887323943662E-2</c:v>
                </c:pt>
                <c:pt idx="12">
                  <c:v>2.6635514018691589E-2</c:v>
                </c:pt>
                <c:pt idx="13">
                  <c:v>2.6697674418604652E-2</c:v>
                </c:pt>
                <c:pt idx="14">
                  <c:v>2.6851851851851852E-2</c:v>
                </c:pt>
                <c:pt idx="15">
                  <c:v>2.6912442396313366E-2</c:v>
                </c:pt>
                <c:pt idx="16">
                  <c:v>2.706422018348624E-2</c:v>
                </c:pt>
                <c:pt idx="17">
                  <c:v>2.7123287671232878E-2</c:v>
                </c:pt>
                <c:pt idx="18">
                  <c:v>2.7272727272727271E-2</c:v>
                </c:pt>
                <c:pt idx="19">
                  <c:v>2.7330316742081449E-2</c:v>
                </c:pt>
                <c:pt idx="20">
                  <c:v>2.7477477477477478E-2</c:v>
                </c:pt>
                <c:pt idx="21">
                  <c:v>2.7533632286995516E-2</c:v>
                </c:pt>
                <c:pt idx="22">
                  <c:v>2.7678571428571427E-2</c:v>
                </c:pt>
                <c:pt idx="23">
                  <c:v>2.7733333333333332E-2</c:v>
                </c:pt>
                <c:pt idx="24">
                  <c:v>2.7876106194690265E-2</c:v>
                </c:pt>
                <c:pt idx="25">
                  <c:v>2.7929515418502204E-2</c:v>
                </c:pt>
                <c:pt idx="26">
                  <c:v>2.8070175438596492E-2</c:v>
                </c:pt>
                <c:pt idx="27">
                  <c:v>2.8122270742358079E-2</c:v>
                </c:pt>
                <c:pt idx="28">
                  <c:v>2.8260869565217391E-2</c:v>
                </c:pt>
                <c:pt idx="29">
                  <c:v>2.8311688311688312E-2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A5-4AD7-B1B8-F035EC817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5929568"/>
        <c:axId val="485935328"/>
      </c:lineChart>
      <c:catAx>
        <c:axId val="48592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85935328"/>
        <c:crosses val="autoZero"/>
        <c:auto val="1"/>
        <c:lblAlgn val="ctr"/>
        <c:lblOffset val="100"/>
        <c:noMultiLvlLbl val="0"/>
      </c:catAx>
      <c:valAx>
        <c:axId val="48593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85929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[Dataset_excel_marketing.xlsx]TCD!Tableau croisé dynamique19</c:name>
    <c:fmtId val="2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TCD!$I$50:$I$51</c:f>
              <c:strCache>
                <c:ptCount val="1"/>
                <c:pt idx="0">
                  <c:v>Facebook Ads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TCD!$H$52:$H$54</c:f>
              <c:strCache>
                <c:ptCount val="2"/>
                <c:pt idx="0">
                  <c:v>févr</c:v>
                </c:pt>
                <c:pt idx="1">
                  <c:v>mars</c:v>
                </c:pt>
              </c:strCache>
            </c:strRef>
          </c:cat>
          <c:val>
            <c:numRef>
              <c:f>TCD!$I$52:$I$54</c:f>
              <c:numCache>
                <c:formatCode>_(* #,##0.00_);_(* \(#,##0.00\);_(* "-"??_);_(@_)</c:formatCode>
                <c:ptCount val="2"/>
                <c:pt idx="0">
                  <c:v>0.84481174708241114</c:v>
                </c:pt>
                <c:pt idx="1">
                  <c:v>5.9442501942501946E-2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E7-4310-ADE8-52EAB27F3DC1}"/>
            </c:ext>
          </c:extLst>
        </c:ser>
        <c:ser>
          <c:idx val="1"/>
          <c:order val="1"/>
          <c:tx>
            <c:strRef>
              <c:f>TCD!$J$50:$J$51</c:f>
              <c:strCache>
                <c:ptCount val="1"/>
                <c:pt idx="0">
                  <c:v>Google Ads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TCD!$H$52:$H$54</c:f>
              <c:strCache>
                <c:ptCount val="2"/>
                <c:pt idx="0">
                  <c:v>févr</c:v>
                </c:pt>
                <c:pt idx="1">
                  <c:v>mars</c:v>
                </c:pt>
              </c:strCache>
            </c:strRef>
          </c:cat>
          <c:val>
            <c:numRef>
              <c:f>TCD!$J$52:$J$54</c:f>
              <c:numCache>
                <c:formatCode>_(* #,##0.00_);_(* \(#,##0.00\);_(* "-"??_);_(@_)</c:formatCode>
                <c:ptCount val="2"/>
                <c:pt idx="0">
                  <c:v>1.4151487450535052</c:v>
                </c:pt>
                <c:pt idx="1">
                  <c:v>0.10162744557729403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E7-4310-ADE8-52EAB27F3DC1}"/>
            </c:ext>
          </c:extLst>
        </c:ser>
        <c:ser>
          <c:idx val="2"/>
          <c:order val="2"/>
          <c:tx>
            <c:strRef>
              <c:f>TCD!$K$50:$K$51</c:f>
              <c:strCache>
                <c:ptCount val="1"/>
                <c:pt idx="0">
                  <c:v>Instagram Ads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TCD!$H$52:$H$54</c:f>
              <c:strCache>
                <c:ptCount val="2"/>
                <c:pt idx="0">
                  <c:v>févr</c:v>
                </c:pt>
                <c:pt idx="1">
                  <c:v>mars</c:v>
                </c:pt>
              </c:strCache>
            </c:strRef>
          </c:cat>
          <c:val>
            <c:numRef>
              <c:f>TCD!$K$52:$K$54</c:f>
              <c:numCache>
                <c:formatCode>_(* #,##0.00_);_(* \(#,##0.00\);_(* "-"??_);_(@_)</c:formatCode>
                <c:ptCount val="2"/>
                <c:pt idx="0">
                  <c:v>0.74856030299840737</c:v>
                </c:pt>
                <c:pt idx="1">
                  <c:v>5.6572557876905703E-2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E7-4310-ADE8-52EAB27F3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0171071"/>
        <c:axId val="278537264"/>
      </c:barChart>
      <c:catAx>
        <c:axId val="1040171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78537264"/>
        <c:crosses val="autoZero"/>
        <c:auto val="1"/>
        <c:lblAlgn val="ctr"/>
        <c:lblOffset val="100"/>
        <c:noMultiLvlLbl val="0"/>
      </c:catAx>
      <c:valAx>
        <c:axId val="27853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0171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[Dataset_excel_marketing.xlsx]TCD!Tableau croisé dynamique20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TCD!$B$55</c:f>
              <c:strCache>
                <c:ptCount val="1"/>
                <c:pt idx="0">
                  <c:v>Somme de Dépenses (FCFA)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TCD!$A$56:$A$87</c:f>
              <c:strCache>
                <c:ptCount val="31"/>
                <c:pt idx="0">
                  <c:v>&lt;01/02/2026</c:v>
                </c:pt>
                <c:pt idx="1">
                  <c:v>01-févr</c:v>
                </c:pt>
                <c:pt idx="2">
                  <c:v>02-févr</c:v>
                </c:pt>
                <c:pt idx="3">
                  <c:v>03-févr</c:v>
                </c:pt>
                <c:pt idx="4">
                  <c:v>04-févr</c:v>
                </c:pt>
                <c:pt idx="5">
                  <c:v>05-févr</c:v>
                </c:pt>
                <c:pt idx="6">
                  <c:v>06-févr</c:v>
                </c:pt>
                <c:pt idx="7">
                  <c:v>07-févr</c:v>
                </c:pt>
                <c:pt idx="8">
                  <c:v>08-févr</c:v>
                </c:pt>
                <c:pt idx="9">
                  <c:v>09-févr</c:v>
                </c:pt>
                <c:pt idx="10">
                  <c:v>10-févr</c:v>
                </c:pt>
                <c:pt idx="11">
                  <c:v>11-févr</c:v>
                </c:pt>
                <c:pt idx="12">
                  <c:v>12-févr</c:v>
                </c:pt>
                <c:pt idx="13">
                  <c:v>13-févr</c:v>
                </c:pt>
                <c:pt idx="14">
                  <c:v>14-févr</c:v>
                </c:pt>
                <c:pt idx="15">
                  <c:v>15-févr</c:v>
                </c:pt>
                <c:pt idx="16">
                  <c:v>16-févr</c:v>
                </c:pt>
                <c:pt idx="17">
                  <c:v>17-févr</c:v>
                </c:pt>
                <c:pt idx="18">
                  <c:v>18-févr</c:v>
                </c:pt>
                <c:pt idx="19">
                  <c:v>19-févr</c:v>
                </c:pt>
                <c:pt idx="20">
                  <c:v>20-févr</c:v>
                </c:pt>
                <c:pt idx="21">
                  <c:v>21-févr</c:v>
                </c:pt>
                <c:pt idx="22">
                  <c:v>22-févr</c:v>
                </c:pt>
                <c:pt idx="23">
                  <c:v>23-févr</c:v>
                </c:pt>
                <c:pt idx="24">
                  <c:v>24-févr</c:v>
                </c:pt>
                <c:pt idx="25">
                  <c:v>25-févr</c:v>
                </c:pt>
                <c:pt idx="26">
                  <c:v>26-févr</c:v>
                </c:pt>
                <c:pt idx="27">
                  <c:v>27-févr</c:v>
                </c:pt>
                <c:pt idx="28">
                  <c:v>28-févr</c:v>
                </c:pt>
                <c:pt idx="29">
                  <c:v>01-mars</c:v>
                </c:pt>
                <c:pt idx="30">
                  <c:v>02-mars</c:v>
                </c:pt>
              </c:strCache>
            </c:strRef>
          </c:cat>
          <c:val>
            <c:numRef>
              <c:f>TCD!$B$56:$B$87</c:f>
              <c:numCache>
                <c:formatCode>General</c:formatCode>
                <c:ptCount val="31"/>
                <c:pt idx="1">
                  <c:v>75000</c:v>
                </c:pt>
                <c:pt idx="2">
                  <c:v>76200</c:v>
                </c:pt>
                <c:pt idx="3">
                  <c:v>75300</c:v>
                </c:pt>
                <c:pt idx="4">
                  <c:v>76600</c:v>
                </c:pt>
                <c:pt idx="5">
                  <c:v>76150</c:v>
                </c:pt>
                <c:pt idx="6">
                  <c:v>77000</c:v>
                </c:pt>
                <c:pt idx="7">
                  <c:v>77400</c:v>
                </c:pt>
                <c:pt idx="8">
                  <c:v>77900</c:v>
                </c:pt>
                <c:pt idx="9">
                  <c:v>78600</c:v>
                </c:pt>
                <c:pt idx="10">
                  <c:v>79100</c:v>
                </c:pt>
                <c:pt idx="11">
                  <c:v>79700</c:v>
                </c:pt>
                <c:pt idx="12">
                  <c:v>80300</c:v>
                </c:pt>
                <c:pt idx="13">
                  <c:v>81000</c:v>
                </c:pt>
                <c:pt idx="14">
                  <c:v>81600</c:v>
                </c:pt>
                <c:pt idx="15">
                  <c:v>82300</c:v>
                </c:pt>
                <c:pt idx="16">
                  <c:v>82800</c:v>
                </c:pt>
                <c:pt idx="17">
                  <c:v>83500</c:v>
                </c:pt>
                <c:pt idx="18">
                  <c:v>84100</c:v>
                </c:pt>
                <c:pt idx="19">
                  <c:v>84700</c:v>
                </c:pt>
                <c:pt idx="20">
                  <c:v>85300</c:v>
                </c:pt>
                <c:pt idx="21">
                  <c:v>86000</c:v>
                </c:pt>
                <c:pt idx="22">
                  <c:v>86600</c:v>
                </c:pt>
                <c:pt idx="23">
                  <c:v>87300</c:v>
                </c:pt>
                <c:pt idx="24">
                  <c:v>87900</c:v>
                </c:pt>
                <c:pt idx="25">
                  <c:v>88600</c:v>
                </c:pt>
                <c:pt idx="26">
                  <c:v>89200</c:v>
                </c:pt>
                <c:pt idx="27">
                  <c:v>89900</c:v>
                </c:pt>
                <c:pt idx="28">
                  <c:v>90500</c:v>
                </c:pt>
                <c:pt idx="29">
                  <c:v>91200</c:v>
                </c:pt>
                <c:pt idx="30">
                  <c:v>91800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D7-4F8B-B81E-808F8E2DC087}"/>
            </c:ext>
          </c:extLst>
        </c:ser>
        <c:ser>
          <c:idx val="1"/>
          <c:order val="1"/>
          <c:tx>
            <c:strRef>
              <c:f>TCD!$C$55</c:f>
              <c:strCache>
                <c:ptCount val="1"/>
                <c:pt idx="0">
                  <c:v>Somme de Revenus (FCFA)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TCD!$A$56:$A$87</c:f>
              <c:strCache>
                <c:ptCount val="31"/>
                <c:pt idx="0">
                  <c:v>&lt;01/02/2026</c:v>
                </c:pt>
                <c:pt idx="1">
                  <c:v>01-févr</c:v>
                </c:pt>
                <c:pt idx="2">
                  <c:v>02-févr</c:v>
                </c:pt>
                <c:pt idx="3">
                  <c:v>03-févr</c:v>
                </c:pt>
                <c:pt idx="4">
                  <c:v>04-févr</c:v>
                </c:pt>
                <c:pt idx="5">
                  <c:v>05-févr</c:v>
                </c:pt>
                <c:pt idx="6">
                  <c:v>06-févr</c:v>
                </c:pt>
                <c:pt idx="7">
                  <c:v>07-févr</c:v>
                </c:pt>
                <c:pt idx="8">
                  <c:v>08-févr</c:v>
                </c:pt>
                <c:pt idx="9">
                  <c:v>09-févr</c:v>
                </c:pt>
                <c:pt idx="10">
                  <c:v>10-févr</c:v>
                </c:pt>
                <c:pt idx="11">
                  <c:v>11-févr</c:v>
                </c:pt>
                <c:pt idx="12">
                  <c:v>12-févr</c:v>
                </c:pt>
                <c:pt idx="13">
                  <c:v>13-févr</c:v>
                </c:pt>
                <c:pt idx="14">
                  <c:v>14-févr</c:v>
                </c:pt>
                <c:pt idx="15">
                  <c:v>15-févr</c:v>
                </c:pt>
                <c:pt idx="16">
                  <c:v>16-févr</c:v>
                </c:pt>
                <c:pt idx="17">
                  <c:v>17-févr</c:v>
                </c:pt>
                <c:pt idx="18">
                  <c:v>18-févr</c:v>
                </c:pt>
                <c:pt idx="19">
                  <c:v>19-févr</c:v>
                </c:pt>
                <c:pt idx="20">
                  <c:v>20-févr</c:v>
                </c:pt>
                <c:pt idx="21">
                  <c:v>21-févr</c:v>
                </c:pt>
                <c:pt idx="22">
                  <c:v>22-févr</c:v>
                </c:pt>
                <c:pt idx="23">
                  <c:v>23-févr</c:v>
                </c:pt>
                <c:pt idx="24">
                  <c:v>24-févr</c:v>
                </c:pt>
                <c:pt idx="25">
                  <c:v>25-févr</c:v>
                </c:pt>
                <c:pt idx="26">
                  <c:v>26-févr</c:v>
                </c:pt>
                <c:pt idx="27">
                  <c:v>27-févr</c:v>
                </c:pt>
                <c:pt idx="28">
                  <c:v>28-févr</c:v>
                </c:pt>
                <c:pt idx="29">
                  <c:v>01-mars</c:v>
                </c:pt>
                <c:pt idx="30">
                  <c:v>02-mars</c:v>
                </c:pt>
              </c:strCache>
            </c:strRef>
          </c:cat>
          <c:val>
            <c:numRef>
              <c:f>TCD!$C$56:$C$87</c:f>
              <c:numCache>
                <c:formatCode>General</c:formatCode>
                <c:ptCount val="31"/>
                <c:pt idx="1">
                  <c:v>580000</c:v>
                </c:pt>
                <c:pt idx="2">
                  <c:v>595000</c:v>
                </c:pt>
                <c:pt idx="3">
                  <c:v>575000</c:v>
                </c:pt>
                <c:pt idx="4">
                  <c:v>599000</c:v>
                </c:pt>
                <c:pt idx="5">
                  <c:v>593000</c:v>
                </c:pt>
                <c:pt idx="6">
                  <c:v>603000</c:v>
                </c:pt>
                <c:pt idx="7">
                  <c:v>609000</c:v>
                </c:pt>
                <c:pt idx="8">
                  <c:v>615000</c:v>
                </c:pt>
                <c:pt idx="9">
                  <c:v>622000</c:v>
                </c:pt>
                <c:pt idx="10">
                  <c:v>627000</c:v>
                </c:pt>
                <c:pt idx="11">
                  <c:v>635000</c:v>
                </c:pt>
                <c:pt idx="12">
                  <c:v>641000</c:v>
                </c:pt>
                <c:pt idx="13">
                  <c:v>647000</c:v>
                </c:pt>
                <c:pt idx="14">
                  <c:v>652000</c:v>
                </c:pt>
                <c:pt idx="15">
                  <c:v>659000</c:v>
                </c:pt>
                <c:pt idx="16">
                  <c:v>666000</c:v>
                </c:pt>
                <c:pt idx="17">
                  <c:v>672000</c:v>
                </c:pt>
                <c:pt idx="18">
                  <c:v>677000</c:v>
                </c:pt>
                <c:pt idx="19">
                  <c:v>684000</c:v>
                </c:pt>
                <c:pt idx="20">
                  <c:v>689000</c:v>
                </c:pt>
                <c:pt idx="21">
                  <c:v>697000</c:v>
                </c:pt>
                <c:pt idx="22">
                  <c:v>703000</c:v>
                </c:pt>
                <c:pt idx="23">
                  <c:v>711000</c:v>
                </c:pt>
                <c:pt idx="24">
                  <c:v>717000</c:v>
                </c:pt>
                <c:pt idx="25">
                  <c:v>725000</c:v>
                </c:pt>
                <c:pt idx="26">
                  <c:v>731000</c:v>
                </c:pt>
                <c:pt idx="27">
                  <c:v>739000</c:v>
                </c:pt>
                <c:pt idx="28">
                  <c:v>744000</c:v>
                </c:pt>
                <c:pt idx="29">
                  <c:v>752000</c:v>
                </c:pt>
                <c:pt idx="30">
                  <c:v>758000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D7-4F8B-B81E-808F8E2DC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1025824"/>
        <c:axId val="471026304"/>
      </c:lineChart>
      <c:catAx>
        <c:axId val="47102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1026304"/>
        <c:crosses val="autoZero"/>
        <c:auto val="1"/>
        <c:lblAlgn val="ctr"/>
        <c:lblOffset val="100"/>
        <c:noMultiLvlLbl val="0"/>
      </c:catAx>
      <c:valAx>
        <c:axId val="47102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1025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1059180</xdr:colOff>
      <xdr:row>56</xdr:row>
      <xdr:rowOff>148590</xdr:rowOff>
    </xdr:from>
    <xdr:to>
      <xdr:col>4</xdr:col>
      <xdr:colOff>91440</xdr:colOff>
      <xdr:row>71</xdr:row>
      <xdr:rowOff>148590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633E5452-DC62-2306-FA33-AC952890C8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160020</xdr:colOff>
      <xdr:row>1</xdr:row>
      <xdr:rowOff>144780</xdr:rowOff>
    </xdr:from>
    <xdr:ext cx="2065020" cy="368953"/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52F2A88E-9407-85D0-D557-E7612A1888E3}"/>
            </a:ext>
          </a:extLst>
        </xdr:cNvPr>
        <xdr:cNvSpPr txBox="1"/>
      </xdr:nvSpPr>
      <xdr:spPr>
        <a:xfrm>
          <a:off x="952500" y="327660"/>
          <a:ext cx="2065020" cy="3689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fr-FR" sz="2400" b="1">
              <a:solidFill>
                <a:schemeClr val="accent1">
                  <a:lumMod val="50000"/>
                </a:schemeClr>
              </a:solidFill>
            </a:rPr>
            <a:t>KPI GLOBAUX</a:t>
          </a:r>
        </a:p>
      </xdr:txBody>
    </xdr:sp>
    <xdr:clientData/>
  </xdr:oneCellAnchor>
  <xdr:twoCellAnchor>
    <xdr:from>
      <xdr:col>1</xdr:col>
      <xdr:colOff>0</xdr:colOff>
      <xdr:row>12</xdr:row>
      <xdr:rowOff>0</xdr:rowOff>
    </xdr:from>
    <xdr:to>
      <xdr:col>5</xdr:col>
      <xdr:colOff>38100</xdr:colOff>
      <xdr:row>27</xdr:row>
      <xdr:rowOff>175260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CE1D92F4-97F5-48C2-82E7-06F14C17EF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7620</xdr:colOff>
      <xdr:row>12</xdr:row>
      <xdr:rowOff>0</xdr:rowOff>
    </xdr:from>
    <xdr:to>
      <xdr:col>11</xdr:col>
      <xdr:colOff>53340</xdr:colOff>
      <xdr:row>28</xdr:row>
      <xdr:rowOff>22860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74BE5B10-19B8-4C73-BDFF-B1BA2EFF56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30</xdr:row>
      <xdr:rowOff>15240</xdr:rowOff>
    </xdr:from>
    <xdr:to>
      <xdr:col>13</xdr:col>
      <xdr:colOff>205740</xdr:colOff>
      <xdr:row>45</xdr:row>
      <xdr:rowOff>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C55838BB-7A98-4427-AE0A-EDA09EEF29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754380</xdr:colOff>
      <xdr:row>29</xdr:row>
      <xdr:rowOff>152400</xdr:rowOff>
    </xdr:from>
    <xdr:to>
      <xdr:col>4</xdr:col>
      <xdr:colOff>762000</xdr:colOff>
      <xdr:row>44</xdr:row>
      <xdr:rowOff>152400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671B241B-7C7B-480B-B691-7B17C77472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7</xdr:col>
      <xdr:colOff>495300</xdr:colOff>
      <xdr:row>66</xdr:row>
      <xdr:rowOff>26670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E8167561-5EA1-4A03-B1FB-7B254FAAF8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neto Leandre" refreshedDate="46078.673257523151" createdVersion="8" refreshedVersion="8" minRefreshableVersion="3" recordCount="93" xr:uid="{A7765578-78F7-458C-B33C-5A772060E36F}">
  <cacheSource type="worksheet">
    <worksheetSource name="Tableau1"/>
  </cacheSource>
  <cacheFields count="14">
    <cacheField name="Date" numFmtId="0">
      <sharedItems containsNonDate="0" containsDate="1" containsString="0" containsBlank="1" minDate="2026-02-01T00:00:00" maxDate="2026-03-03T00:00:00" count="31"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m/>
      </sharedItems>
      <fieldGroup par="13"/>
    </cacheField>
    <cacheField name="Canal" numFmtId="0">
      <sharedItems containsBlank="1" count="4">
        <s v="Facebook Ads"/>
        <s v="Google Ads"/>
        <s v="Instagram Ads"/>
        <m/>
      </sharedItems>
    </cacheField>
    <cacheField name="Impressions" numFmtId="0">
      <sharedItems containsString="0" containsBlank="1" containsNumber="1" containsInteger="1" minValue="8000" maxValue="14400"/>
    </cacheField>
    <cacheField name="Clicks" numFmtId="0">
      <sharedItems containsString="0" containsBlank="1" containsNumber="1" containsInteger="1" minValue="250" maxValue="485"/>
    </cacheField>
    <cacheField name="Dépenses (FCFA)" numFmtId="0">
      <sharedItems containsString="0" containsBlank="1" containsNumber="1" containsInteger="1" minValue="20000" maxValue="37000"/>
    </cacheField>
    <cacheField name="Conversions" numFmtId="0">
      <sharedItems containsString="0" containsBlank="1" containsNumber="1" containsInteger="1" minValue="15" maxValue="39"/>
    </cacheField>
    <cacheField name="Revenus (FCFA)" numFmtId="0">
      <sharedItems containsString="0" containsBlank="1" containsNumber="1" containsInteger="1" minValue="150000" maxValue="322000"/>
    </cacheField>
    <cacheField name="CTR (taux de click par vue)" numFmtId="0">
      <sharedItems containsString="0" containsBlank="1" containsNumber="1" minValue="2.5000000000000001E-2" maxValue="5.0930232558139533E-2"/>
    </cacheField>
    <cacheField name="CPA (cout par click)" numFmtId="0">
      <sharedItems containsString="0" containsBlank="1" containsNumber="1" minValue="68.108108108108112" maxValue="80"/>
    </cacheField>
    <cacheField name="Taux de conversion" numFmtId="0">
      <sharedItems containsString="0" containsBlank="1" containsNumber="1" minValue="4.788732394366197E-2" maxValue="8.0745341614906832E-2"/>
    </cacheField>
    <cacheField name="CPA (cout par conversion)" numFmtId="0">
      <sharedItems containsString="0" containsBlank="1" containsNumber="1" minValue="943.58974358974353" maxValue="1458.8235294117646"/>
    </cacheField>
    <cacheField name="ROAS (rentabilité des depenses)" numFmtId="0">
      <sharedItems containsString="0" containsBlank="1" containsNumber="1" minValue="7.056451612903226" maxValue="8.7027027027027035"/>
    </cacheField>
    <cacheField name="Jours (Date)" numFmtId="0" databaseField="0">
      <fieldGroup base="0">
        <rangePr groupBy="days" startDate="2026-02-01T00:00:00" endDate="2026-03-03T00:00:00"/>
        <groupItems count="368">
          <s v="&lt;01/02/2026"/>
          <s v="01-janv"/>
          <s v="02-janv"/>
          <s v="03-janv"/>
          <s v="04-janv"/>
          <s v="05-janv"/>
          <s v="06-janv"/>
          <s v="07-janv"/>
          <s v="08-janv"/>
          <s v="09-janv"/>
          <s v="10-janv"/>
          <s v="11-janv"/>
          <s v="12-janv"/>
          <s v="13-janv"/>
          <s v="14-janv"/>
          <s v="15-janv"/>
          <s v="16-janv"/>
          <s v="17-janv"/>
          <s v="18-janv"/>
          <s v="19-janv"/>
          <s v="20-janv"/>
          <s v="21-janv"/>
          <s v="22-janv"/>
          <s v="23-janv"/>
          <s v="24-janv"/>
          <s v="25-janv"/>
          <s v="26-janv"/>
          <s v="27-janv"/>
          <s v="28-janv"/>
          <s v="29-janv"/>
          <s v="30-janv"/>
          <s v="31-janv"/>
          <s v="01-févr"/>
          <s v="02-févr"/>
          <s v="03-févr"/>
          <s v="04-févr"/>
          <s v="05-févr"/>
          <s v="06-févr"/>
          <s v="07-févr"/>
          <s v="08-févr"/>
          <s v="09-févr"/>
          <s v="10-févr"/>
          <s v="11-févr"/>
          <s v="12-févr"/>
          <s v="13-févr"/>
          <s v="14-févr"/>
          <s v="15-févr"/>
          <s v="16-févr"/>
          <s v="17-févr"/>
          <s v="18-févr"/>
          <s v="19-févr"/>
          <s v="20-févr"/>
          <s v="21-févr"/>
          <s v="22-févr"/>
          <s v="23-févr"/>
          <s v="24-févr"/>
          <s v="25-févr"/>
          <s v="26-févr"/>
          <s v="27-févr"/>
          <s v="28-févr"/>
          <s v="29-févr"/>
          <s v="01-mars"/>
          <s v="02-mars"/>
          <s v="03-mars"/>
          <s v="04-mars"/>
          <s v="05-mars"/>
          <s v="06-mars"/>
          <s v="07-mars"/>
          <s v="08-mars"/>
          <s v="09-mars"/>
          <s v="10-mars"/>
          <s v="11-mars"/>
          <s v="12-mars"/>
          <s v="13-mars"/>
          <s v="14-mars"/>
          <s v="15-mars"/>
          <s v="16-mars"/>
          <s v="17-mars"/>
          <s v="18-mars"/>
          <s v="19-mars"/>
          <s v="20-mars"/>
          <s v="21-mars"/>
          <s v="22-mars"/>
          <s v="23-mars"/>
          <s v="24-mars"/>
          <s v="25-mars"/>
          <s v="26-mars"/>
          <s v="27-mars"/>
          <s v="28-mars"/>
          <s v="29-mars"/>
          <s v="30-mars"/>
          <s v="31-mars"/>
          <s v="01-avr"/>
          <s v="02-avr"/>
          <s v="03-avr"/>
          <s v="04-avr"/>
          <s v="05-avr"/>
          <s v="06-avr"/>
          <s v="07-avr"/>
          <s v="08-avr"/>
          <s v="09-avr"/>
          <s v="10-avr"/>
          <s v="11-avr"/>
          <s v="12-avr"/>
          <s v="13-avr"/>
          <s v="14-avr"/>
          <s v="15-avr"/>
          <s v="16-avr"/>
          <s v="17-avr"/>
          <s v="18-avr"/>
          <s v="19-avr"/>
          <s v="20-avr"/>
          <s v="21-avr"/>
          <s v="22-avr"/>
          <s v="23-avr"/>
          <s v="24-avr"/>
          <s v="25-avr"/>
          <s v="26-avr"/>
          <s v="27-avr"/>
          <s v="28-avr"/>
          <s v="29-avr"/>
          <s v="30-avr"/>
          <s v="01-mai"/>
          <s v="02-mai"/>
          <s v="03-mai"/>
          <s v="04-mai"/>
          <s v="05-mai"/>
          <s v="06-mai"/>
          <s v="07-mai"/>
          <s v="08-mai"/>
          <s v="09-mai"/>
          <s v="10-mai"/>
          <s v="11-mai"/>
          <s v="12-mai"/>
          <s v="13-mai"/>
          <s v="14-mai"/>
          <s v="15-mai"/>
          <s v="16-mai"/>
          <s v="17-mai"/>
          <s v="18-mai"/>
          <s v="19-mai"/>
          <s v="20-mai"/>
          <s v="21-mai"/>
          <s v="22-mai"/>
          <s v="23-mai"/>
          <s v="24-mai"/>
          <s v="25-mai"/>
          <s v="26-mai"/>
          <s v="27-mai"/>
          <s v="28-mai"/>
          <s v="29-mai"/>
          <s v="30-mai"/>
          <s v="31-mai"/>
          <s v="01-juin"/>
          <s v="02-juin"/>
          <s v="03-juin"/>
          <s v="04-juin"/>
          <s v="05-juin"/>
          <s v="06-juin"/>
          <s v="07-juin"/>
          <s v="08-juin"/>
          <s v="09-juin"/>
          <s v="10-juin"/>
          <s v="11-juin"/>
          <s v="12-juin"/>
          <s v="13-juin"/>
          <s v="14-juin"/>
          <s v="15-juin"/>
          <s v="16-juin"/>
          <s v="17-juin"/>
          <s v="18-juin"/>
          <s v="19-juin"/>
          <s v="20-juin"/>
          <s v="21-juin"/>
          <s v="22-juin"/>
          <s v="23-juin"/>
          <s v="24-juin"/>
          <s v="25-juin"/>
          <s v="26-juin"/>
          <s v="27-juin"/>
          <s v="28-juin"/>
          <s v="29-juin"/>
          <s v="30-juin"/>
          <s v="01-juil"/>
          <s v="02-juil"/>
          <s v="03-juil"/>
          <s v="04-juil"/>
          <s v="05-juil"/>
          <s v="06-juil"/>
          <s v="07-juil"/>
          <s v="08-juil"/>
          <s v="09-juil"/>
          <s v="10-juil"/>
          <s v="11-juil"/>
          <s v="12-juil"/>
          <s v="13-juil"/>
          <s v="14-juil"/>
          <s v="15-juil"/>
          <s v="16-juil"/>
          <s v="17-juil"/>
          <s v="18-juil"/>
          <s v="19-juil"/>
          <s v="20-juil"/>
          <s v="21-juil"/>
          <s v="22-juil"/>
          <s v="23-juil"/>
          <s v="24-juil"/>
          <s v="25-juil"/>
          <s v="26-juil"/>
          <s v="27-juil"/>
          <s v="28-juil"/>
          <s v="29-juil"/>
          <s v="30-juil"/>
          <s v="31-juil"/>
          <s v="01-août"/>
          <s v="02-août"/>
          <s v="03-août"/>
          <s v="04-août"/>
          <s v="05-août"/>
          <s v="06-août"/>
          <s v="07-août"/>
          <s v="08-août"/>
          <s v="09-août"/>
          <s v="10-août"/>
          <s v="11-août"/>
          <s v="12-août"/>
          <s v="13-août"/>
          <s v="14-août"/>
          <s v="15-août"/>
          <s v="16-août"/>
          <s v="17-août"/>
          <s v="18-août"/>
          <s v="19-août"/>
          <s v="20-août"/>
          <s v="21-août"/>
          <s v="22-août"/>
          <s v="23-août"/>
          <s v="24-août"/>
          <s v="25-août"/>
          <s v="26-août"/>
          <s v="27-août"/>
          <s v="28-août"/>
          <s v="29-août"/>
          <s v="30-août"/>
          <s v="31-août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éc"/>
          <s v="02-déc"/>
          <s v="03-déc"/>
          <s v="04-déc"/>
          <s v="05-déc"/>
          <s v="06-déc"/>
          <s v="07-déc"/>
          <s v="08-déc"/>
          <s v="09-déc"/>
          <s v="10-déc"/>
          <s v="11-déc"/>
          <s v="12-déc"/>
          <s v="13-déc"/>
          <s v="14-déc"/>
          <s v="15-déc"/>
          <s v="16-déc"/>
          <s v="17-déc"/>
          <s v="18-déc"/>
          <s v="19-déc"/>
          <s v="20-déc"/>
          <s v="21-déc"/>
          <s v="22-déc"/>
          <s v="23-déc"/>
          <s v="24-déc"/>
          <s v="25-déc"/>
          <s v="26-déc"/>
          <s v="27-déc"/>
          <s v="28-déc"/>
          <s v="29-déc"/>
          <s v="30-déc"/>
          <s v="31-déc"/>
          <s v="&gt;03/03/2026"/>
        </groupItems>
      </fieldGroup>
    </cacheField>
    <cacheField name="Mois (Date)" numFmtId="0" databaseField="0">
      <fieldGroup base="0">
        <rangePr groupBy="months" startDate="2026-02-01T00:00:00" endDate="2026-03-03T00:00:00"/>
        <groupItems count="14">
          <s v="&lt;01/02/2026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03/03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neto Leandre" refreshedDate="46085.669003819443" createdVersion="8" refreshedVersion="8" minRefreshableVersion="3" recordCount="96" xr:uid="{F97628FE-D83F-43A9-B21D-04061E451B6A}">
  <cacheSource type="worksheet">
    <worksheetSource ref="A1:L1048576" sheet="Tableau"/>
  </cacheSource>
  <cacheFields count="14">
    <cacheField name="Date" numFmtId="14">
      <sharedItems containsNonDate="0" containsDate="1" containsString="0" containsBlank="1" minDate="2026-02-01T00:00:00" maxDate="2026-03-03T00:00:00" count="31"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m/>
      </sharedItems>
      <fieldGroup par="13"/>
    </cacheField>
    <cacheField name="Canal" numFmtId="0">
      <sharedItems containsBlank="1" count="4">
        <s v="Facebook Ads"/>
        <s v="Google Ads"/>
        <s v="Instagram Ads"/>
        <m/>
      </sharedItems>
    </cacheField>
    <cacheField name="Impressions" numFmtId="0">
      <sharedItems containsString="0" containsBlank="1" containsNumber="1" containsInteger="1" minValue="8000" maxValue="14400"/>
    </cacheField>
    <cacheField name="Clicks" numFmtId="0">
      <sharedItems containsString="0" containsBlank="1" containsNumber="1" containsInteger="1" minValue="250" maxValue="485"/>
    </cacheField>
    <cacheField name="Dépenses (FCFA)" numFmtId="0">
      <sharedItems containsString="0" containsBlank="1" containsNumber="1" containsInteger="1" minValue="20000" maxValue="37000"/>
    </cacheField>
    <cacheField name="Conversions" numFmtId="0">
      <sharedItems containsString="0" containsBlank="1" containsNumber="1" containsInteger="1" minValue="15" maxValue="39"/>
    </cacheField>
    <cacheField name="Revenus (FCFA)" numFmtId="0">
      <sharedItems containsString="0" containsBlank="1" containsNumber="1" containsInteger="1" minValue="150000" maxValue="322000"/>
    </cacheField>
    <cacheField name="CTR (taux de click par vue)" numFmtId="0">
      <sharedItems containsString="0" containsBlank="1" containsNumber="1" minValue="2.5000000000000001E-2" maxValue="5.0930232558139533E-2"/>
    </cacheField>
    <cacheField name="CPA (cout par click)" numFmtId="0">
      <sharedItems containsString="0" containsBlank="1" containsNumber="1" minValue="68.108108108108112" maxValue="80"/>
    </cacheField>
    <cacheField name="Taux de conversion" numFmtId="0">
      <sharedItems containsString="0" containsBlank="1" containsNumber="1" minValue="4.788732394366197E-2" maxValue="8.0745341614906832E-2"/>
    </cacheField>
    <cacheField name="CPA (cout par conversion)" numFmtId="0">
      <sharedItems containsString="0" containsBlank="1" containsNumber="1" minValue="943.58974358974353" maxValue="1458.8235294117646"/>
    </cacheField>
    <cacheField name="ROAS (rentabilité des depenses)" numFmtId="0">
      <sharedItems containsString="0" containsBlank="1" containsNumber="1" minValue="7.056451612903226" maxValue="8.7027027027027035"/>
    </cacheField>
    <cacheField name="Jours (Date)" numFmtId="0" databaseField="0">
      <fieldGroup base="0">
        <rangePr groupBy="days" startDate="2026-02-01T00:00:00" endDate="2026-03-03T00:00:00"/>
        <groupItems count="368">
          <s v="&lt;01/02/2026"/>
          <s v="01-janv"/>
          <s v="02-janv"/>
          <s v="03-janv"/>
          <s v="04-janv"/>
          <s v="05-janv"/>
          <s v="06-janv"/>
          <s v="07-janv"/>
          <s v="08-janv"/>
          <s v="09-janv"/>
          <s v="10-janv"/>
          <s v="11-janv"/>
          <s v="12-janv"/>
          <s v="13-janv"/>
          <s v="14-janv"/>
          <s v="15-janv"/>
          <s v="16-janv"/>
          <s v="17-janv"/>
          <s v="18-janv"/>
          <s v="19-janv"/>
          <s v="20-janv"/>
          <s v="21-janv"/>
          <s v="22-janv"/>
          <s v="23-janv"/>
          <s v="24-janv"/>
          <s v="25-janv"/>
          <s v="26-janv"/>
          <s v="27-janv"/>
          <s v="28-janv"/>
          <s v="29-janv"/>
          <s v="30-janv"/>
          <s v="31-janv"/>
          <s v="01-févr"/>
          <s v="02-févr"/>
          <s v="03-févr"/>
          <s v="04-févr"/>
          <s v="05-févr"/>
          <s v="06-févr"/>
          <s v="07-févr"/>
          <s v="08-févr"/>
          <s v="09-févr"/>
          <s v="10-févr"/>
          <s v="11-févr"/>
          <s v="12-févr"/>
          <s v="13-févr"/>
          <s v="14-févr"/>
          <s v="15-févr"/>
          <s v="16-févr"/>
          <s v="17-févr"/>
          <s v="18-févr"/>
          <s v="19-févr"/>
          <s v="20-févr"/>
          <s v="21-févr"/>
          <s v="22-févr"/>
          <s v="23-févr"/>
          <s v="24-févr"/>
          <s v="25-févr"/>
          <s v="26-févr"/>
          <s v="27-févr"/>
          <s v="28-févr"/>
          <s v="29-févr"/>
          <s v="01-mars"/>
          <s v="02-mars"/>
          <s v="03-mars"/>
          <s v="04-mars"/>
          <s v="05-mars"/>
          <s v="06-mars"/>
          <s v="07-mars"/>
          <s v="08-mars"/>
          <s v="09-mars"/>
          <s v="10-mars"/>
          <s v="11-mars"/>
          <s v="12-mars"/>
          <s v="13-mars"/>
          <s v="14-mars"/>
          <s v="15-mars"/>
          <s v="16-mars"/>
          <s v="17-mars"/>
          <s v="18-mars"/>
          <s v="19-mars"/>
          <s v="20-mars"/>
          <s v="21-mars"/>
          <s v="22-mars"/>
          <s v="23-mars"/>
          <s v="24-mars"/>
          <s v="25-mars"/>
          <s v="26-mars"/>
          <s v="27-mars"/>
          <s v="28-mars"/>
          <s v="29-mars"/>
          <s v="30-mars"/>
          <s v="31-mars"/>
          <s v="01-avr"/>
          <s v="02-avr"/>
          <s v="03-avr"/>
          <s v="04-avr"/>
          <s v="05-avr"/>
          <s v="06-avr"/>
          <s v="07-avr"/>
          <s v="08-avr"/>
          <s v="09-avr"/>
          <s v="10-avr"/>
          <s v="11-avr"/>
          <s v="12-avr"/>
          <s v="13-avr"/>
          <s v="14-avr"/>
          <s v="15-avr"/>
          <s v="16-avr"/>
          <s v="17-avr"/>
          <s v="18-avr"/>
          <s v="19-avr"/>
          <s v="20-avr"/>
          <s v="21-avr"/>
          <s v="22-avr"/>
          <s v="23-avr"/>
          <s v="24-avr"/>
          <s v="25-avr"/>
          <s v="26-avr"/>
          <s v="27-avr"/>
          <s v="28-avr"/>
          <s v="29-avr"/>
          <s v="30-avr"/>
          <s v="01-mai"/>
          <s v="02-mai"/>
          <s v="03-mai"/>
          <s v="04-mai"/>
          <s v="05-mai"/>
          <s v="06-mai"/>
          <s v="07-mai"/>
          <s v="08-mai"/>
          <s v="09-mai"/>
          <s v="10-mai"/>
          <s v="11-mai"/>
          <s v="12-mai"/>
          <s v="13-mai"/>
          <s v="14-mai"/>
          <s v="15-mai"/>
          <s v="16-mai"/>
          <s v="17-mai"/>
          <s v="18-mai"/>
          <s v="19-mai"/>
          <s v="20-mai"/>
          <s v="21-mai"/>
          <s v="22-mai"/>
          <s v="23-mai"/>
          <s v="24-mai"/>
          <s v="25-mai"/>
          <s v="26-mai"/>
          <s v="27-mai"/>
          <s v="28-mai"/>
          <s v="29-mai"/>
          <s v="30-mai"/>
          <s v="31-mai"/>
          <s v="01-juin"/>
          <s v="02-juin"/>
          <s v="03-juin"/>
          <s v="04-juin"/>
          <s v="05-juin"/>
          <s v="06-juin"/>
          <s v="07-juin"/>
          <s v="08-juin"/>
          <s v="09-juin"/>
          <s v="10-juin"/>
          <s v="11-juin"/>
          <s v="12-juin"/>
          <s v="13-juin"/>
          <s v="14-juin"/>
          <s v="15-juin"/>
          <s v="16-juin"/>
          <s v="17-juin"/>
          <s v="18-juin"/>
          <s v="19-juin"/>
          <s v="20-juin"/>
          <s v="21-juin"/>
          <s v="22-juin"/>
          <s v="23-juin"/>
          <s v="24-juin"/>
          <s v="25-juin"/>
          <s v="26-juin"/>
          <s v="27-juin"/>
          <s v="28-juin"/>
          <s v="29-juin"/>
          <s v="30-juin"/>
          <s v="01-juil"/>
          <s v="02-juil"/>
          <s v="03-juil"/>
          <s v="04-juil"/>
          <s v="05-juil"/>
          <s v="06-juil"/>
          <s v="07-juil"/>
          <s v="08-juil"/>
          <s v="09-juil"/>
          <s v="10-juil"/>
          <s v="11-juil"/>
          <s v="12-juil"/>
          <s v="13-juil"/>
          <s v="14-juil"/>
          <s v="15-juil"/>
          <s v="16-juil"/>
          <s v="17-juil"/>
          <s v="18-juil"/>
          <s v="19-juil"/>
          <s v="20-juil"/>
          <s v="21-juil"/>
          <s v="22-juil"/>
          <s v="23-juil"/>
          <s v="24-juil"/>
          <s v="25-juil"/>
          <s v="26-juil"/>
          <s v="27-juil"/>
          <s v="28-juil"/>
          <s v="29-juil"/>
          <s v="30-juil"/>
          <s v="31-juil"/>
          <s v="01-août"/>
          <s v="02-août"/>
          <s v="03-août"/>
          <s v="04-août"/>
          <s v="05-août"/>
          <s v="06-août"/>
          <s v="07-août"/>
          <s v="08-août"/>
          <s v="09-août"/>
          <s v="10-août"/>
          <s v="11-août"/>
          <s v="12-août"/>
          <s v="13-août"/>
          <s v="14-août"/>
          <s v="15-août"/>
          <s v="16-août"/>
          <s v="17-août"/>
          <s v="18-août"/>
          <s v="19-août"/>
          <s v="20-août"/>
          <s v="21-août"/>
          <s v="22-août"/>
          <s v="23-août"/>
          <s v="24-août"/>
          <s v="25-août"/>
          <s v="26-août"/>
          <s v="27-août"/>
          <s v="28-août"/>
          <s v="29-août"/>
          <s v="30-août"/>
          <s v="31-août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éc"/>
          <s v="02-déc"/>
          <s v="03-déc"/>
          <s v="04-déc"/>
          <s v="05-déc"/>
          <s v="06-déc"/>
          <s v="07-déc"/>
          <s v="08-déc"/>
          <s v="09-déc"/>
          <s v="10-déc"/>
          <s v="11-déc"/>
          <s v="12-déc"/>
          <s v="13-déc"/>
          <s v="14-déc"/>
          <s v="15-déc"/>
          <s v="16-déc"/>
          <s v="17-déc"/>
          <s v="18-déc"/>
          <s v="19-déc"/>
          <s v="20-déc"/>
          <s v="21-déc"/>
          <s v="22-déc"/>
          <s v="23-déc"/>
          <s v="24-déc"/>
          <s v="25-déc"/>
          <s v="26-déc"/>
          <s v="27-déc"/>
          <s v="28-déc"/>
          <s v="29-déc"/>
          <s v="30-déc"/>
          <s v="31-déc"/>
          <s v="&gt;03/03/2026"/>
        </groupItems>
      </fieldGroup>
    </cacheField>
    <cacheField name="Mois (Date)" numFmtId="0" databaseField="0">
      <fieldGroup base="0">
        <rangePr groupBy="months" startDate="2026-02-01T00:00:00" endDate="2026-03-03T00:00:00"/>
        <groupItems count="14">
          <s v="&lt;01/02/2026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03/03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x v="0"/>
    <x v="0"/>
    <n v="12000"/>
    <n v="360"/>
    <n v="25000"/>
    <n v="18"/>
    <n v="180000"/>
    <n v="0.03"/>
    <n v="69.444444444444443"/>
    <n v="0.05"/>
    <n v="1388.8888888888889"/>
    <n v="7.2"/>
  </r>
  <r>
    <x v="0"/>
    <x v="1"/>
    <n v="8000"/>
    <n v="400"/>
    <n v="30000"/>
    <n v="25"/>
    <n v="250000"/>
    <n v="0.05"/>
    <n v="75"/>
    <n v="6.25E-2"/>
    <n v="1200"/>
    <n v="8.3333333333333339"/>
  </r>
  <r>
    <x v="0"/>
    <x v="2"/>
    <n v="10000"/>
    <n v="250"/>
    <n v="20000"/>
    <n v="15"/>
    <n v="150000"/>
    <n v="2.5000000000000001E-2"/>
    <n v="80"/>
    <n v="0.06"/>
    <n v="1333.3333333333333"/>
    <n v="7.5"/>
  </r>
  <r>
    <x v="1"/>
    <x v="0"/>
    <n v="12200"/>
    <n v="370"/>
    <n v="25200"/>
    <n v="19"/>
    <n v="185000"/>
    <n v="3.0327868852459017E-2"/>
    <n v="68.108108108108112"/>
    <n v="5.1351351351351354E-2"/>
    <n v="1326.3157894736842"/>
    <n v="7.3412698412698409"/>
  </r>
  <r>
    <x v="1"/>
    <x v="1"/>
    <n v="8200"/>
    <n v="410"/>
    <n v="30500"/>
    <n v="26"/>
    <n v="255000"/>
    <n v="0.05"/>
    <n v="74.390243902439025"/>
    <n v="6.3414634146341464E-2"/>
    <n v="1173.0769230769231"/>
    <n v="8.3606557377049189"/>
  </r>
  <r>
    <x v="1"/>
    <x v="2"/>
    <n v="10200"/>
    <n v="260"/>
    <n v="20500"/>
    <n v="16"/>
    <n v="155000"/>
    <n v="2.5490196078431372E-2"/>
    <n v="78.84615384615384"/>
    <n v="6.1538461538461542E-2"/>
    <n v="1281.25"/>
    <n v="7.5609756097560972"/>
  </r>
  <r>
    <x v="2"/>
    <x v="0"/>
    <n v="11800"/>
    <n v="355"/>
    <n v="24800"/>
    <n v="17"/>
    <n v="175000"/>
    <n v="3.0084745762711865E-2"/>
    <n v="69.859154929577471"/>
    <n v="4.788732394366197E-2"/>
    <n v="1458.8235294117646"/>
    <n v="7.056451612903226"/>
  </r>
  <r>
    <x v="2"/>
    <x v="1"/>
    <n v="8100"/>
    <n v="395"/>
    <n v="30200"/>
    <n v="24"/>
    <n v="248000"/>
    <n v="4.8765432098765431E-2"/>
    <n v="76.455696202531641"/>
    <n v="6.0759493670886074E-2"/>
    <n v="1258.3333333333333"/>
    <n v="8.2119205298013238"/>
  </r>
  <r>
    <x v="2"/>
    <x v="2"/>
    <n v="10100"/>
    <n v="255"/>
    <n v="20300"/>
    <n v="15"/>
    <n v="152000"/>
    <n v="2.5247524752475249E-2"/>
    <n v="79.607843137254903"/>
    <n v="5.8823529411764705E-2"/>
    <n v="1353.3333333333333"/>
    <n v="7.4876847290640391"/>
  </r>
  <r>
    <x v="3"/>
    <x v="0"/>
    <n v="12100"/>
    <n v="365"/>
    <n v="25100"/>
    <n v="18"/>
    <n v="182000"/>
    <n v="3.0165289256198349E-2"/>
    <n v="68.767123287671239"/>
    <n v="4.9315068493150684E-2"/>
    <n v="1394.4444444444443"/>
    <n v="7.2509960159362548"/>
  </r>
  <r>
    <x v="3"/>
    <x v="1"/>
    <n v="8300"/>
    <n v="415"/>
    <n v="30800"/>
    <n v="27"/>
    <n v="260000"/>
    <n v="0.05"/>
    <n v="74.216867469879517"/>
    <n v="6.5060240963855417E-2"/>
    <n v="1140.7407407407406"/>
    <n v="8.4415584415584419"/>
  </r>
  <r>
    <x v="3"/>
    <x v="2"/>
    <n v="10300"/>
    <n v="265"/>
    <n v="20700"/>
    <n v="16"/>
    <n v="157000"/>
    <n v="2.5728155339805825E-2"/>
    <n v="78.113207547169807"/>
    <n v="6.0377358490566038E-2"/>
    <n v="1293.75"/>
    <n v="7.5845410628019323"/>
  </r>
  <r>
    <x v="4"/>
    <x v="0"/>
    <n v="11950"/>
    <n v="362"/>
    <n v="24950"/>
    <n v="18"/>
    <n v="181000"/>
    <n v="3.0292887029288704E-2"/>
    <n v="68.922651933701658"/>
    <n v="4.9723756906077346E-2"/>
    <n v="1386.1111111111111"/>
    <n v="7.2545090180360718"/>
  </r>
  <r>
    <x v="4"/>
    <x v="1"/>
    <n v="8250"/>
    <n v="405"/>
    <n v="30600"/>
    <n v="26"/>
    <n v="258000"/>
    <n v="4.9090909090909088E-2"/>
    <n v="75.555555555555557"/>
    <n v="6.4197530864197536E-2"/>
    <n v="1176.9230769230769"/>
    <n v="8.4313725490196081"/>
  </r>
  <r>
    <x v="4"/>
    <x v="2"/>
    <n v="10250"/>
    <n v="262"/>
    <n v="20600"/>
    <n v="15"/>
    <n v="154000"/>
    <n v="2.5560975609756096E-2"/>
    <n v="78.625954198473281"/>
    <n v="5.7251908396946563E-2"/>
    <n v="1373.3333333333333"/>
    <n v="7.4757281553398061"/>
  </r>
  <r>
    <x v="5"/>
    <x v="0"/>
    <n v="12050"/>
    <n v="368"/>
    <n v="25150"/>
    <n v="19"/>
    <n v="183000"/>
    <n v="3.0539419087136928E-2"/>
    <n v="68.342391304347828"/>
    <n v="5.1630434782608696E-2"/>
    <n v="1323.6842105263158"/>
    <n v="7.2763419483101393"/>
  </r>
  <r>
    <x v="5"/>
    <x v="1"/>
    <n v="8350"/>
    <n v="418"/>
    <n v="31000"/>
    <n v="27"/>
    <n v="262000"/>
    <n v="5.005988023952096E-2"/>
    <n v="74.162679425837325"/>
    <n v="6.4593301435406703E-2"/>
    <n v="1148.148148148148"/>
    <n v="8.4516129032258061"/>
  </r>
  <r>
    <x v="5"/>
    <x v="2"/>
    <n v="10350"/>
    <n v="268"/>
    <n v="20850"/>
    <n v="16"/>
    <n v="158000"/>
    <n v="2.5893719806763284E-2"/>
    <n v="77.798507462686572"/>
    <n v="5.9701492537313432E-2"/>
    <n v="1303.125"/>
    <n v="7.5779376498800959"/>
  </r>
  <r>
    <x v="6"/>
    <x v="0"/>
    <n v="12150"/>
    <n v="370"/>
    <n v="25300"/>
    <n v="19"/>
    <n v="184000"/>
    <n v="3.0452674897119343E-2"/>
    <n v="68.378378378378372"/>
    <n v="5.1351351351351354E-2"/>
    <n v="1331.578947368421"/>
    <n v="7.2727272727272725"/>
  </r>
  <r>
    <x v="6"/>
    <x v="1"/>
    <n v="8400"/>
    <n v="420"/>
    <n v="31200"/>
    <n v="28"/>
    <n v="265000"/>
    <n v="0.05"/>
    <n v="74.285714285714292"/>
    <n v="6.6666666666666666E-2"/>
    <n v="1114.2857142857142"/>
    <n v="8.4935897435897427"/>
  </r>
  <r>
    <x v="6"/>
    <x v="2"/>
    <n v="10400"/>
    <n v="270"/>
    <n v="20900"/>
    <n v="16"/>
    <n v="160000"/>
    <n v="2.5961538461538463E-2"/>
    <n v="77.407407407407405"/>
    <n v="5.9259259259259262E-2"/>
    <n v="1306.25"/>
    <n v="7.6555023923444976"/>
  </r>
  <r>
    <x v="7"/>
    <x v="0"/>
    <n v="12200"/>
    <n v="372"/>
    <n v="25400"/>
    <n v="19"/>
    <n v="185000"/>
    <n v="3.0491803278688525E-2"/>
    <n v="68.27956989247312"/>
    <n v="5.1075268817204304E-2"/>
    <n v="1336.8421052631579"/>
    <n v="7.2834645669291342"/>
  </r>
  <r>
    <x v="7"/>
    <x v="1"/>
    <n v="8450"/>
    <n v="425"/>
    <n v="31500"/>
    <n v="28"/>
    <n v="268000"/>
    <n v="5.0295857988165681E-2"/>
    <n v="74.117647058823536"/>
    <n v="6.5882352941176475E-2"/>
    <n v="1125"/>
    <n v="8.5079365079365079"/>
  </r>
  <r>
    <x v="7"/>
    <x v="2"/>
    <n v="10450"/>
    <n v="272"/>
    <n v="21000"/>
    <n v="16"/>
    <n v="162000"/>
    <n v="2.6028708133971293E-2"/>
    <n v="77.205882352941174"/>
    <n v="5.8823529411764705E-2"/>
    <n v="1312.5"/>
    <n v="7.7142857142857144"/>
  </r>
  <r>
    <x v="8"/>
    <x v="0"/>
    <n v="12300"/>
    <n v="375"/>
    <n v="25600"/>
    <n v="20"/>
    <n v="187000"/>
    <n v="3.048780487804878E-2"/>
    <n v="68.266666666666666"/>
    <n v="5.3333333333333337E-2"/>
    <n v="1280"/>
    <n v="7.3046875"/>
  </r>
  <r>
    <x v="8"/>
    <x v="1"/>
    <n v="8500"/>
    <n v="430"/>
    <n v="31800"/>
    <n v="29"/>
    <n v="270000"/>
    <n v="5.0588235294117649E-2"/>
    <n v="73.95348837209302"/>
    <n v="6.7441860465116285E-2"/>
    <n v="1096.5517241379309"/>
    <n v="8.4905660377358494"/>
  </r>
  <r>
    <x v="8"/>
    <x v="2"/>
    <n v="10500"/>
    <n v="275"/>
    <n v="21200"/>
    <n v="17"/>
    <n v="165000"/>
    <n v="2.6190476190476191E-2"/>
    <n v="77.090909090909093"/>
    <n v="6.1818181818181821E-2"/>
    <n v="1247.0588235294117"/>
    <n v="7.783018867924528"/>
  </r>
  <r>
    <x v="9"/>
    <x v="0"/>
    <n v="12400"/>
    <n v="378"/>
    <n v="25800"/>
    <n v="20"/>
    <n v="188000"/>
    <n v="3.0483870967741935E-2"/>
    <n v="68.253968253968253"/>
    <n v="5.2910052910052907E-2"/>
    <n v="1290"/>
    <n v="7.2868217054263562"/>
  </r>
  <r>
    <x v="9"/>
    <x v="1"/>
    <n v="8550"/>
    <n v="435"/>
    <n v="32000"/>
    <n v="29"/>
    <n v="272000"/>
    <n v="5.0877192982456139E-2"/>
    <n v="73.563218390804593"/>
    <n v="6.6666666666666666E-2"/>
    <n v="1103.4482758620691"/>
    <n v="8.5"/>
  </r>
  <r>
    <x v="9"/>
    <x v="2"/>
    <n v="10550"/>
    <n v="277"/>
    <n v="21300"/>
    <n v="17"/>
    <n v="167000"/>
    <n v="2.6255924170616115E-2"/>
    <n v="76.895306859205775"/>
    <n v="6.1371841155234655E-2"/>
    <n v="1252.9411764705883"/>
    <n v="7.84037558685446"/>
  </r>
  <r>
    <x v="10"/>
    <x v="0"/>
    <n v="12500"/>
    <n v="380"/>
    <n v="26000"/>
    <n v="20"/>
    <n v="190000"/>
    <n v="3.04E-2"/>
    <n v="68.421052631578945"/>
    <n v="5.2631578947368418E-2"/>
    <n v="1300"/>
    <n v="7.3076923076923075"/>
  </r>
  <r>
    <x v="10"/>
    <x v="1"/>
    <n v="8600"/>
    <n v="438"/>
    <n v="32200"/>
    <n v="30"/>
    <n v="275000"/>
    <n v="5.0930232558139533E-2"/>
    <n v="73.515981735159812"/>
    <n v="6.8493150684931503E-2"/>
    <n v="1073.3333333333333"/>
    <n v="8.5403726708074537"/>
  </r>
  <r>
    <x v="10"/>
    <x v="2"/>
    <n v="10600"/>
    <n v="280"/>
    <n v="21500"/>
    <n v="18"/>
    <n v="170000"/>
    <n v="2.6415094339622643E-2"/>
    <n v="76.785714285714292"/>
    <n v="6.4285714285714279E-2"/>
    <n v="1194.4444444444443"/>
    <n v="7.9069767441860463"/>
  </r>
  <r>
    <x v="11"/>
    <x v="0"/>
    <n v="12600"/>
    <n v="383"/>
    <n v="26200"/>
    <n v="21"/>
    <n v="192000"/>
    <n v="3.0396825396825398E-2"/>
    <n v="68.407310704960835"/>
    <n v="5.4830287206266322E-2"/>
    <n v="1247.6190476190477"/>
    <n v="7.3282442748091601"/>
  </r>
  <r>
    <x v="11"/>
    <x v="1"/>
    <n v="8650"/>
    <n v="440"/>
    <n v="32500"/>
    <n v="30"/>
    <n v="277000"/>
    <n v="5.086705202312139E-2"/>
    <n v="73.86363636363636"/>
    <n v="6.8181818181818177E-2"/>
    <n v="1083.3333333333333"/>
    <n v="8.523076923076923"/>
  </r>
  <r>
    <x v="11"/>
    <x v="2"/>
    <n v="10650"/>
    <n v="282"/>
    <n v="21600"/>
    <n v="18"/>
    <n v="172000"/>
    <n v="2.647887323943662E-2"/>
    <n v="76.59574468085107"/>
    <n v="6.3829787234042548E-2"/>
    <n v="1200"/>
    <n v="7.9629629629629628"/>
  </r>
  <r>
    <x v="12"/>
    <x v="0"/>
    <n v="12700"/>
    <n v="385"/>
    <n v="26400"/>
    <n v="21"/>
    <n v="193000"/>
    <n v="3.0314960629921259E-2"/>
    <n v="68.571428571428569"/>
    <n v="5.4545454545454543E-2"/>
    <n v="1257.1428571428571"/>
    <n v="7.3106060606060606"/>
  </r>
  <r>
    <x v="12"/>
    <x v="1"/>
    <n v="8700"/>
    <n v="443"/>
    <n v="32800"/>
    <n v="31"/>
    <n v="280000"/>
    <n v="5.0919540229885055E-2"/>
    <n v="74.040632054176072"/>
    <n v="6.9977426636568849E-2"/>
    <n v="1058.0645161290322"/>
    <n v="8.536585365853659"/>
  </r>
  <r>
    <x v="12"/>
    <x v="2"/>
    <n v="10700"/>
    <n v="285"/>
    <n v="21800"/>
    <n v="18"/>
    <n v="174000"/>
    <n v="2.6635514018691589E-2"/>
    <n v="76.491228070175438"/>
    <n v="6.3157894736842107E-2"/>
    <n v="1211.1111111111111"/>
    <n v="7.9816513761467887"/>
  </r>
  <r>
    <x v="13"/>
    <x v="0"/>
    <n v="12800"/>
    <n v="388"/>
    <n v="26600"/>
    <n v="22"/>
    <n v="195000"/>
    <n v="3.0312499999999999E-2"/>
    <n v="68.55670103092784"/>
    <n v="5.6701030927835051E-2"/>
    <n v="1209.090909090909"/>
    <n v="7.3308270676691727"/>
  </r>
  <r>
    <x v="13"/>
    <x v="1"/>
    <n v="8750"/>
    <n v="445"/>
    <n v="33000"/>
    <n v="31"/>
    <n v="282000"/>
    <n v="5.0857142857142858E-2"/>
    <n v="74.157303370786522"/>
    <n v="6.9662921348314602E-2"/>
    <n v="1064.516129032258"/>
    <n v="8.545454545454545"/>
  </r>
  <r>
    <x v="13"/>
    <x v="2"/>
    <n v="10750"/>
    <n v="287"/>
    <n v="22000"/>
    <n v="19"/>
    <n v="175000"/>
    <n v="2.6697674418604652E-2"/>
    <n v="76.655052264808361"/>
    <n v="6.6202090592334492E-2"/>
    <n v="1157.8947368421052"/>
    <n v="7.9545454545454541"/>
  </r>
  <r>
    <x v="14"/>
    <x v="0"/>
    <n v="12900"/>
    <n v="390"/>
    <n v="26800"/>
    <n v="22"/>
    <n v="197000"/>
    <n v="3.0232558139534883E-2"/>
    <n v="68.717948717948715"/>
    <n v="5.6410256410256411E-2"/>
    <n v="1218.1818181818182"/>
    <n v="7.3507462686567164"/>
  </r>
  <r>
    <x v="14"/>
    <x v="1"/>
    <n v="8800"/>
    <n v="448"/>
    <n v="33300"/>
    <n v="32"/>
    <n v="285000"/>
    <n v="5.0909090909090911E-2"/>
    <n v="74.330357142857139"/>
    <n v="7.1428571428571425E-2"/>
    <n v="1040.625"/>
    <n v="8.5585585585585591"/>
  </r>
  <r>
    <x v="14"/>
    <x v="2"/>
    <n v="10800"/>
    <n v="290"/>
    <n v="22200"/>
    <n v="19"/>
    <n v="177000"/>
    <n v="2.6851851851851852E-2"/>
    <n v="76.551724137931032"/>
    <n v="6.5517241379310351E-2"/>
    <n v="1168.421052631579"/>
    <n v="7.9729729729729728"/>
  </r>
  <r>
    <x v="15"/>
    <x v="0"/>
    <n v="13000"/>
    <n v="393"/>
    <n v="27000"/>
    <n v="23"/>
    <n v="200000"/>
    <n v="3.0230769230769231E-2"/>
    <n v="68.702290076335885"/>
    <n v="5.8524173027989825E-2"/>
    <n v="1173.9130434782608"/>
    <n v="7.4074074074074074"/>
  </r>
  <r>
    <x v="15"/>
    <x v="1"/>
    <n v="8850"/>
    <n v="450"/>
    <n v="33500"/>
    <n v="32"/>
    <n v="287000"/>
    <n v="5.0847457627118647E-2"/>
    <n v="74.444444444444443"/>
    <n v="7.1111111111111111E-2"/>
    <n v="1046.875"/>
    <n v="8.567164179104477"/>
  </r>
  <r>
    <x v="15"/>
    <x v="2"/>
    <n v="10850"/>
    <n v="292"/>
    <n v="22300"/>
    <n v="19"/>
    <n v="179000"/>
    <n v="2.6912442396313366E-2"/>
    <n v="76.369863013698634"/>
    <n v="6.5068493150684928E-2"/>
    <n v="1173.6842105263158"/>
    <n v="8.0269058295964122"/>
  </r>
  <r>
    <x v="16"/>
    <x v="0"/>
    <n v="13100"/>
    <n v="395"/>
    <n v="27200"/>
    <n v="23"/>
    <n v="202000"/>
    <n v="3.015267175572519E-2"/>
    <n v="68.860759493670884"/>
    <n v="5.8227848101265821E-2"/>
    <n v="1182.608695652174"/>
    <n v="7.4264705882352944"/>
  </r>
  <r>
    <x v="16"/>
    <x v="1"/>
    <n v="8900"/>
    <n v="453"/>
    <n v="33800"/>
    <n v="33"/>
    <n v="290000"/>
    <n v="5.0898876404494385E-2"/>
    <n v="74.613686534216342"/>
    <n v="7.2847682119205295E-2"/>
    <n v="1024.2424242424242"/>
    <n v="8.5798816568047336"/>
  </r>
  <r>
    <x v="16"/>
    <x v="2"/>
    <n v="10900"/>
    <n v="295"/>
    <n v="22500"/>
    <n v="20"/>
    <n v="180000"/>
    <n v="2.706422018348624E-2"/>
    <n v="76.271186440677965"/>
    <n v="6.7796610169491525E-2"/>
    <n v="1125"/>
    <n v="8"/>
  </r>
  <r>
    <x v="17"/>
    <x v="0"/>
    <n v="13200"/>
    <n v="398"/>
    <n v="27400"/>
    <n v="23"/>
    <n v="203000"/>
    <n v="3.0151515151515151E-2"/>
    <n v="68.844221105527637"/>
    <n v="5.7788944723618091E-2"/>
    <n v="1191.304347826087"/>
    <n v="7.4087591240875916"/>
  </r>
  <r>
    <x v="17"/>
    <x v="1"/>
    <n v="8950"/>
    <n v="455"/>
    <n v="34000"/>
    <n v="33"/>
    <n v="292000"/>
    <n v="5.0837988826815644E-2"/>
    <n v="74.72527472527473"/>
    <n v="7.2527472527472533E-2"/>
    <n v="1030.3030303030303"/>
    <n v="8.5882352941176467"/>
  </r>
  <r>
    <x v="17"/>
    <x v="2"/>
    <n v="10950"/>
    <n v="297"/>
    <n v="22700"/>
    <n v="20"/>
    <n v="182000"/>
    <n v="2.7123287671232878E-2"/>
    <n v="76.430976430976429"/>
    <n v="6.7340067340067339E-2"/>
    <n v="1135"/>
    <n v="8.0176211453744486"/>
  </r>
  <r>
    <x v="18"/>
    <x v="0"/>
    <n v="13300"/>
    <n v="400"/>
    <n v="27600"/>
    <n v="24"/>
    <n v="205000"/>
    <n v="3.007518796992481E-2"/>
    <n v="69"/>
    <n v="0.06"/>
    <n v="1150"/>
    <n v="7.4275362318840576"/>
  </r>
  <r>
    <x v="18"/>
    <x v="1"/>
    <n v="9000"/>
    <n v="458"/>
    <n v="34300"/>
    <n v="34"/>
    <n v="295000"/>
    <n v="5.0888888888888886E-2"/>
    <n v="74.890829694323145"/>
    <n v="7.4235807860262015E-2"/>
    <n v="1008.8235294117648"/>
    <n v="8.6005830903790095"/>
  </r>
  <r>
    <x v="18"/>
    <x v="2"/>
    <n v="11000"/>
    <n v="300"/>
    <n v="22800"/>
    <n v="20"/>
    <n v="184000"/>
    <n v="2.7272727272727271E-2"/>
    <n v="76"/>
    <n v="6.6666666666666666E-2"/>
    <n v="1140"/>
    <n v="8.0701754385964914"/>
  </r>
  <r>
    <x v="19"/>
    <x v="0"/>
    <n v="13400"/>
    <n v="403"/>
    <n v="27800"/>
    <n v="24"/>
    <n v="207000"/>
    <n v="3.0074626865671642E-2"/>
    <n v="68.982630272952861"/>
    <n v="5.9553349875930521E-2"/>
    <n v="1158.3333333333333"/>
    <n v="7.4460431654676258"/>
  </r>
  <r>
    <x v="19"/>
    <x v="1"/>
    <n v="9050"/>
    <n v="460"/>
    <n v="34500"/>
    <n v="34"/>
    <n v="297000"/>
    <n v="5.0828729281767959E-2"/>
    <n v="75"/>
    <n v="7.3913043478260873E-2"/>
    <n v="1014.7058823529412"/>
    <n v="8.6086956521739122"/>
  </r>
  <r>
    <x v="19"/>
    <x v="2"/>
    <n v="11050"/>
    <n v="302"/>
    <n v="23000"/>
    <n v="21"/>
    <n v="185000"/>
    <n v="2.7330316742081449E-2"/>
    <n v="76.158940397350989"/>
    <n v="6.9536423841059597E-2"/>
    <n v="1095.2380952380952"/>
    <n v="8.0434782608695645"/>
  </r>
  <r>
    <x v="20"/>
    <x v="0"/>
    <n v="13500"/>
    <n v="405"/>
    <n v="28000"/>
    <n v="25"/>
    <n v="210000"/>
    <n v="0.03"/>
    <n v="69.135802469135797"/>
    <n v="6.1728395061728392E-2"/>
    <n v="1120"/>
    <n v="7.5"/>
  </r>
  <r>
    <x v="20"/>
    <x v="1"/>
    <n v="9100"/>
    <n v="463"/>
    <n v="34800"/>
    <n v="35"/>
    <n v="300000"/>
    <n v="5.087912087912088E-2"/>
    <n v="75.161987041036724"/>
    <n v="7.5593952483801297E-2"/>
    <n v="994.28571428571433"/>
    <n v="8.6206896551724146"/>
  </r>
  <r>
    <x v="20"/>
    <x v="2"/>
    <n v="11100"/>
    <n v="305"/>
    <n v="23200"/>
    <n v="21"/>
    <n v="187000"/>
    <n v="2.7477477477477478E-2"/>
    <n v="76.06557377049181"/>
    <n v="6.8852459016393447E-2"/>
    <n v="1104.7619047619048"/>
    <n v="8.0603448275862064"/>
  </r>
  <r>
    <x v="21"/>
    <x v="0"/>
    <n v="13600"/>
    <n v="408"/>
    <n v="28200"/>
    <n v="25"/>
    <n v="212000"/>
    <n v="0.03"/>
    <n v="69.117647058823536"/>
    <n v="6.1274509803921566E-2"/>
    <n v="1128"/>
    <n v="7.5177304964539005"/>
  </r>
  <r>
    <x v="21"/>
    <x v="1"/>
    <n v="9150"/>
    <n v="465"/>
    <n v="35000"/>
    <n v="35"/>
    <n v="302000"/>
    <n v="5.0819672131147541E-2"/>
    <n v="75.268817204301072"/>
    <n v="7.5268817204301078E-2"/>
    <n v="1000"/>
    <n v="8.6285714285714281"/>
  </r>
  <r>
    <x v="21"/>
    <x v="2"/>
    <n v="11150"/>
    <n v="307"/>
    <n v="23400"/>
    <n v="22"/>
    <n v="189000"/>
    <n v="2.7533632286995516E-2"/>
    <n v="76.2214983713355"/>
    <n v="7.1661237785016291E-2"/>
    <n v="1063.6363636363637"/>
    <n v="8.0769230769230766"/>
  </r>
  <r>
    <x v="22"/>
    <x v="0"/>
    <n v="13700"/>
    <n v="410"/>
    <n v="28400"/>
    <n v="26"/>
    <n v="215000"/>
    <n v="2.9927007299270073E-2"/>
    <n v="69.268292682926827"/>
    <n v="6.3414634146341464E-2"/>
    <n v="1092.3076923076924"/>
    <n v="7.570422535211268"/>
  </r>
  <r>
    <x v="22"/>
    <x v="1"/>
    <n v="9200"/>
    <n v="468"/>
    <n v="35300"/>
    <n v="36"/>
    <n v="305000"/>
    <n v="5.0869565217391305E-2"/>
    <n v="75.427350427350433"/>
    <n v="7.6923076923076927E-2"/>
    <n v="980.55555555555554"/>
    <n v="8.640226628895185"/>
  </r>
  <r>
    <x v="22"/>
    <x v="2"/>
    <n v="11200"/>
    <n v="310"/>
    <n v="23600"/>
    <n v="22"/>
    <n v="191000"/>
    <n v="2.7678571428571427E-2"/>
    <n v="76.129032258064512"/>
    <n v="7.0967741935483872E-2"/>
    <n v="1072.7272727272727"/>
    <n v="8.0932203389830502"/>
  </r>
  <r>
    <x v="23"/>
    <x v="0"/>
    <n v="13800"/>
    <n v="413"/>
    <n v="28600"/>
    <n v="26"/>
    <n v="217000"/>
    <n v="2.9927536231884058E-2"/>
    <n v="69.24939467312349"/>
    <n v="6.2953995157384993E-2"/>
    <n v="1100"/>
    <n v="7.5874125874125875"/>
  </r>
  <r>
    <x v="23"/>
    <x v="1"/>
    <n v="9250"/>
    <n v="470"/>
    <n v="35500"/>
    <n v="36"/>
    <n v="307000"/>
    <n v="5.0810810810810812E-2"/>
    <n v="75.531914893617028"/>
    <n v="7.6595744680851063E-2"/>
    <n v="986.11111111111109"/>
    <n v="8.647887323943662"/>
  </r>
  <r>
    <x v="23"/>
    <x v="2"/>
    <n v="11250"/>
    <n v="312"/>
    <n v="23800"/>
    <n v="22"/>
    <n v="193000"/>
    <n v="2.7733333333333332E-2"/>
    <n v="76.282051282051285"/>
    <n v="7.0512820512820512E-2"/>
    <n v="1081.8181818181818"/>
    <n v="8.1092436974789912"/>
  </r>
  <r>
    <x v="24"/>
    <x v="0"/>
    <n v="13900"/>
    <n v="415"/>
    <n v="28800"/>
    <n v="27"/>
    <n v="220000"/>
    <n v="2.985611510791367E-2"/>
    <n v="69.397590361445779"/>
    <n v="6.5060240963855417E-2"/>
    <n v="1066.6666666666667"/>
    <n v="7.6388888888888893"/>
  </r>
  <r>
    <x v="24"/>
    <x v="1"/>
    <n v="9300"/>
    <n v="473"/>
    <n v="35800"/>
    <n v="37"/>
    <n v="310000"/>
    <n v="5.0860215053763438E-2"/>
    <n v="75.687103594080341"/>
    <n v="7.8224101479915431E-2"/>
    <n v="967.56756756756761"/>
    <n v="8.6592178770949726"/>
  </r>
  <r>
    <x v="24"/>
    <x v="2"/>
    <n v="11300"/>
    <n v="315"/>
    <n v="24000"/>
    <n v="23"/>
    <n v="195000"/>
    <n v="2.7876106194690265E-2"/>
    <n v="76.19047619047619"/>
    <n v="7.301587301587302E-2"/>
    <n v="1043.4782608695652"/>
    <n v="8.125"/>
  </r>
  <r>
    <x v="25"/>
    <x v="0"/>
    <n v="14000"/>
    <n v="418"/>
    <n v="29000"/>
    <n v="27"/>
    <n v="222000"/>
    <n v="2.9857142857142856E-2"/>
    <n v="69.377990430622006"/>
    <n v="6.4593301435406703E-2"/>
    <n v="1074.0740740740741"/>
    <n v="7.6551724137931032"/>
  </r>
  <r>
    <x v="25"/>
    <x v="1"/>
    <n v="9350"/>
    <n v="475"/>
    <n v="36000"/>
    <n v="37"/>
    <n v="312000"/>
    <n v="5.0802139037433157E-2"/>
    <n v="75.78947368421052"/>
    <n v="7.7894736842105267E-2"/>
    <n v="972.97297297297303"/>
    <n v="8.6666666666666661"/>
  </r>
  <r>
    <x v="25"/>
    <x v="2"/>
    <n v="11350"/>
    <n v="317"/>
    <n v="24200"/>
    <n v="23"/>
    <n v="197000"/>
    <n v="2.7929515418502204E-2"/>
    <n v="76.34069400630915"/>
    <n v="7.2555205047318619E-2"/>
    <n v="1052.1739130434783"/>
    <n v="8.1404958677685944"/>
  </r>
  <r>
    <x v="26"/>
    <x v="0"/>
    <n v="14100"/>
    <n v="420"/>
    <n v="29200"/>
    <n v="28"/>
    <n v="225000"/>
    <n v="2.9787234042553193E-2"/>
    <n v="69.523809523809518"/>
    <n v="6.6666666666666666E-2"/>
    <n v="1042.8571428571429"/>
    <n v="7.7054794520547949"/>
  </r>
  <r>
    <x v="26"/>
    <x v="1"/>
    <n v="9400"/>
    <n v="478"/>
    <n v="36300"/>
    <n v="38"/>
    <n v="315000"/>
    <n v="5.0851063829787234E-2"/>
    <n v="75.941422594142253"/>
    <n v="7.9497907949790794E-2"/>
    <n v="955.26315789473688"/>
    <n v="8.677685950413224"/>
  </r>
  <r>
    <x v="26"/>
    <x v="2"/>
    <n v="11400"/>
    <n v="320"/>
    <n v="24400"/>
    <n v="23"/>
    <n v="199000"/>
    <n v="2.8070175438596492E-2"/>
    <n v="76.25"/>
    <n v="7.1874999999999994E-2"/>
    <n v="1060.8695652173913"/>
    <n v="8.1557377049180335"/>
  </r>
  <r>
    <x v="27"/>
    <x v="0"/>
    <n v="14200"/>
    <n v="423"/>
    <n v="29400"/>
    <n v="28"/>
    <n v="227000"/>
    <n v="2.9788732394366198E-2"/>
    <n v="69.503546099290787"/>
    <n v="6.6193853427895979E-2"/>
    <n v="1050"/>
    <n v="7.72108843537415"/>
  </r>
  <r>
    <x v="27"/>
    <x v="1"/>
    <n v="9450"/>
    <n v="480"/>
    <n v="36500"/>
    <n v="38"/>
    <n v="317000"/>
    <n v="5.0793650793650794E-2"/>
    <n v="76.041666666666671"/>
    <n v="7.9166666666666663E-2"/>
    <n v="960.52631578947364"/>
    <n v="8.6849315068493151"/>
  </r>
  <r>
    <x v="27"/>
    <x v="2"/>
    <n v="11450"/>
    <n v="322"/>
    <n v="24600"/>
    <n v="24"/>
    <n v="200000"/>
    <n v="2.8122270742358079E-2"/>
    <n v="76.397515527950304"/>
    <n v="7.4534161490683232E-2"/>
    <n v="1025"/>
    <n v="8.1300813008130088"/>
  </r>
  <r>
    <x v="28"/>
    <x v="0"/>
    <n v="14300"/>
    <n v="425"/>
    <n v="29600"/>
    <n v="29"/>
    <n v="230000"/>
    <n v="2.972027972027972E-2"/>
    <n v="69.647058823529406"/>
    <n v="6.8235294117647061E-2"/>
    <n v="1020.6896551724138"/>
    <n v="7.7702702702702702"/>
  </r>
  <r>
    <x v="28"/>
    <x v="1"/>
    <n v="9500"/>
    <n v="483"/>
    <n v="36800"/>
    <n v="39"/>
    <n v="320000"/>
    <n v="5.0842105263157897E-2"/>
    <n v="76.19047619047619"/>
    <n v="8.0745341614906832E-2"/>
    <n v="943.58974358974353"/>
    <n v="8.695652173913043"/>
  </r>
  <r>
    <x v="28"/>
    <x v="2"/>
    <n v="11500"/>
    <n v="325"/>
    <n v="24800"/>
    <n v="24"/>
    <n v="202000"/>
    <n v="2.8260869565217391E-2"/>
    <n v="76.307692307692307"/>
    <n v="7.3846153846153853E-2"/>
    <n v="1033.3333333333333"/>
    <n v="8.1451612903225801"/>
  </r>
  <r>
    <x v="29"/>
    <x v="0"/>
    <n v="14400"/>
    <n v="428"/>
    <n v="29800"/>
    <n v="29"/>
    <n v="232000"/>
    <n v="2.9722222222222223E-2"/>
    <n v="69.626168224299064"/>
    <n v="6.7757009345794386E-2"/>
    <n v="1027.5862068965516"/>
    <n v="7.7852348993288594"/>
  </r>
  <r>
    <x v="29"/>
    <x v="1"/>
    <n v="9550"/>
    <n v="485"/>
    <n v="37000"/>
    <n v="39"/>
    <n v="322000"/>
    <n v="5.0785340314136125E-2"/>
    <n v="76.288659793814432"/>
    <n v="8.0412371134020624E-2"/>
    <n v="948.71794871794873"/>
    <n v="8.7027027027027035"/>
  </r>
  <r>
    <x v="29"/>
    <x v="2"/>
    <n v="11550"/>
    <n v="327"/>
    <n v="25000"/>
    <n v="24"/>
    <n v="204000"/>
    <n v="2.8311688311688312E-2"/>
    <n v="76.452599388379198"/>
    <n v="7.3394495412844041E-2"/>
    <n v="1041.6666666666667"/>
    <n v="8.16"/>
  </r>
  <r>
    <x v="30"/>
    <x v="3"/>
    <m/>
    <m/>
    <m/>
    <m/>
    <m/>
    <m/>
    <m/>
    <m/>
    <m/>
    <m/>
  </r>
  <r>
    <x v="30"/>
    <x v="3"/>
    <m/>
    <m/>
    <m/>
    <m/>
    <m/>
    <m/>
    <m/>
    <m/>
    <m/>
    <m/>
  </r>
  <r>
    <x v="30"/>
    <x v="3"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x v="0"/>
    <x v="0"/>
    <n v="12000"/>
    <n v="360"/>
    <n v="25000"/>
    <n v="18"/>
    <n v="180000"/>
    <n v="0.03"/>
    <n v="69.444444444444443"/>
    <n v="0.05"/>
    <n v="1388.8888888888889"/>
    <n v="7.2"/>
  </r>
  <r>
    <x v="0"/>
    <x v="1"/>
    <n v="8000"/>
    <n v="400"/>
    <n v="30000"/>
    <n v="25"/>
    <n v="250000"/>
    <n v="0.05"/>
    <n v="75"/>
    <n v="6.25E-2"/>
    <n v="1200"/>
    <n v="8.3333333333333339"/>
  </r>
  <r>
    <x v="0"/>
    <x v="2"/>
    <n v="10000"/>
    <n v="250"/>
    <n v="20000"/>
    <n v="15"/>
    <n v="150000"/>
    <n v="2.5000000000000001E-2"/>
    <n v="80"/>
    <n v="0.06"/>
    <n v="1333.3333333333333"/>
    <n v="7.5"/>
  </r>
  <r>
    <x v="1"/>
    <x v="0"/>
    <n v="12200"/>
    <n v="370"/>
    <n v="25200"/>
    <n v="19"/>
    <n v="185000"/>
    <n v="3.0327868852459017E-2"/>
    <n v="68.108108108108112"/>
    <n v="5.1351351351351354E-2"/>
    <n v="1326.3157894736842"/>
    <n v="7.3412698412698409"/>
  </r>
  <r>
    <x v="1"/>
    <x v="1"/>
    <n v="8200"/>
    <n v="410"/>
    <n v="30500"/>
    <n v="26"/>
    <n v="255000"/>
    <n v="0.05"/>
    <n v="74.390243902439025"/>
    <n v="6.3414634146341464E-2"/>
    <n v="1173.0769230769231"/>
    <n v="8.3606557377049189"/>
  </r>
  <r>
    <x v="1"/>
    <x v="2"/>
    <n v="10200"/>
    <n v="260"/>
    <n v="20500"/>
    <n v="16"/>
    <n v="155000"/>
    <n v="2.5490196078431372E-2"/>
    <n v="78.84615384615384"/>
    <n v="6.1538461538461542E-2"/>
    <n v="1281.25"/>
    <n v="7.5609756097560972"/>
  </r>
  <r>
    <x v="2"/>
    <x v="0"/>
    <n v="11800"/>
    <n v="355"/>
    <n v="24800"/>
    <n v="17"/>
    <n v="175000"/>
    <n v="3.0084745762711865E-2"/>
    <n v="69.859154929577471"/>
    <n v="4.788732394366197E-2"/>
    <n v="1458.8235294117646"/>
    <n v="7.056451612903226"/>
  </r>
  <r>
    <x v="2"/>
    <x v="1"/>
    <n v="8100"/>
    <n v="395"/>
    <n v="30200"/>
    <n v="24"/>
    <n v="248000"/>
    <n v="4.8765432098765431E-2"/>
    <n v="76.455696202531641"/>
    <n v="6.0759493670886074E-2"/>
    <n v="1258.3333333333333"/>
    <n v="8.2119205298013238"/>
  </r>
  <r>
    <x v="2"/>
    <x v="2"/>
    <n v="10100"/>
    <n v="255"/>
    <n v="20300"/>
    <n v="15"/>
    <n v="152000"/>
    <n v="2.5247524752475249E-2"/>
    <n v="79.607843137254903"/>
    <n v="5.8823529411764705E-2"/>
    <n v="1353.3333333333333"/>
    <n v="7.4876847290640391"/>
  </r>
  <r>
    <x v="3"/>
    <x v="0"/>
    <n v="12100"/>
    <n v="365"/>
    <n v="25100"/>
    <n v="18"/>
    <n v="182000"/>
    <n v="3.0165289256198349E-2"/>
    <n v="68.767123287671239"/>
    <n v="4.9315068493150684E-2"/>
    <n v="1394.4444444444443"/>
    <n v="7.2509960159362548"/>
  </r>
  <r>
    <x v="3"/>
    <x v="1"/>
    <n v="8300"/>
    <n v="415"/>
    <n v="30800"/>
    <n v="27"/>
    <n v="260000"/>
    <n v="0.05"/>
    <n v="74.216867469879517"/>
    <n v="6.5060240963855417E-2"/>
    <n v="1140.7407407407406"/>
    <n v="8.4415584415584419"/>
  </r>
  <r>
    <x v="3"/>
    <x v="2"/>
    <n v="10300"/>
    <n v="265"/>
    <n v="20700"/>
    <n v="16"/>
    <n v="157000"/>
    <n v="2.5728155339805825E-2"/>
    <n v="78.113207547169807"/>
    <n v="6.0377358490566038E-2"/>
    <n v="1293.75"/>
    <n v="7.5845410628019323"/>
  </r>
  <r>
    <x v="4"/>
    <x v="0"/>
    <n v="11950"/>
    <n v="362"/>
    <n v="24950"/>
    <n v="18"/>
    <n v="181000"/>
    <n v="3.0292887029288704E-2"/>
    <n v="68.922651933701658"/>
    <n v="4.9723756906077346E-2"/>
    <n v="1386.1111111111111"/>
    <n v="7.2545090180360718"/>
  </r>
  <r>
    <x v="4"/>
    <x v="1"/>
    <n v="8250"/>
    <n v="405"/>
    <n v="30600"/>
    <n v="26"/>
    <n v="258000"/>
    <n v="4.9090909090909088E-2"/>
    <n v="75.555555555555557"/>
    <n v="6.4197530864197536E-2"/>
    <n v="1176.9230769230769"/>
    <n v="8.4313725490196081"/>
  </r>
  <r>
    <x v="4"/>
    <x v="2"/>
    <n v="10250"/>
    <n v="262"/>
    <n v="20600"/>
    <n v="15"/>
    <n v="154000"/>
    <n v="2.5560975609756096E-2"/>
    <n v="78.625954198473281"/>
    <n v="5.7251908396946563E-2"/>
    <n v="1373.3333333333333"/>
    <n v="7.4757281553398061"/>
  </r>
  <r>
    <x v="5"/>
    <x v="0"/>
    <n v="12050"/>
    <n v="368"/>
    <n v="25150"/>
    <n v="19"/>
    <n v="183000"/>
    <n v="3.0539419087136928E-2"/>
    <n v="68.342391304347828"/>
    <n v="5.1630434782608696E-2"/>
    <n v="1323.6842105263158"/>
    <n v="7.2763419483101393"/>
  </r>
  <r>
    <x v="5"/>
    <x v="1"/>
    <n v="8350"/>
    <n v="418"/>
    <n v="31000"/>
    <n v="27"/>
    <n v="262000"/>
    <n v="5.005988023952096E-2"/>
    <n v="74.162679425837325"/>
    <n v="6.4593301435406703E-2"/>
    <n v="1148.148148148148"/>
    <n v="8.4516129032258061"/>
  </r>
  <r>
    <x v="5"/>
    <x v="2"/>
    <n v="10350"/>
    <n v="268"/>
    <n v="20850"/>
    <n v="16"/>
    <n v="158000"/>
    <n v="2.5893719806763284E-2"/>
    <n v="77.798507462686572"/>
    <n v="5.9701492537313432E-2"/>
    <n v="1303.125"/>
    <n v="7.5779376498800959"/>
  </r>
  <r>
    <x v="6"/>
    <x v="0"/>
    <n v="12150"/>
    <n v="370"/>
    <n v="25300"/>
    <n v="19"/>
    <n v="184000"/>
    <n v="3.0452674897119343E-2"/>
    <n v="68.378378378378372"/>
    <n v="5.1351351351351354E-2"/>
    <n v="1331.578947368421"/>
    <n v="7.2727272727272725"/>
  </r>
  <r>
    <x v="6"/>
    <x v="1"/>
    <n v="8400"/>
    <n v="420"/>
    <n v="31200"/>
    <n v="28"/>
    <n v="265000"/>
    <n v="0.05"/>
    <n v="74.285714285714292"/>
    <n v="6.6666666666666666E-2"/>
    <n v="1114.2857142857142"/>
    <n v="8.4935897435897427"/>
  </r>
  <r>
    <x v="6"/>
    <x v="2"/>
    <n v="10400"/>
    <n v="270"/>
    <n v="20900"/>
    <n v="16"/>
    <n v="160000"/>
    <n v="2.5961538461538463E-2"/>
    <n v="77.407407407407405"/>
    <n v="5.9259259259259262E-2"/>
    <n v="1306.25"/>
    <n v="7.6555023923444976"/>
  </r>
  <r>
    <x v="7"/>
    <x v="0"/>
    <n v="12200"/>
    <n v="372"/>
    <n v="25400"/>
    <n v="19"/>
    <n v="185000"/>
    <n v="3.0491803278688525E-2"/>
    <n v="68.27956989247312"/>
    <n v="5.1075268817204304E-2"/>
    <n v="1336.8421052631579"/>
    <n v="7.2834645669291342"/>
  </r>
  <r>
    <x v="7"/>
    <x v="1"/>
    <n v="8450"/>
    <n v="425"/>
    <n v="31500"/>
    <n v="28"/>
    <n v="268000"/>
    <n v="5.0295857988165681E-2"/>
    <n v="74.117647058823536"/>
    <n v="6.5882352941176475E-2"/>
    <n v="1125"/>
    <n v="8.5079365079365079"/>
  </r>
  <r>
    <x v="7"/>
    <x v="2"/>
    <n v="10450"/>
    <n v="272"/>
    <n v="21000"/>
    <n v="16"/>
    <n v="162000"/>
    <n v="2.6028708133971293E-2"/>
    <n v="77.205882352941174"/>
    <n v="5.8823529411764705E-2"/>
    <n v="1312.5"/>
    <n v="7.7142857142857144"/>
  </r>
  <r>
    <x v="8"/>
    <x v="0"/>
    <n v="12300"/>
    <n v="375"/>
    <n v="25600"/>
    <n v="20"/>
    <n v="187000"/>
    <n v="3.048780487804878E-2"/>
    <n v="68.266666666666666"/>
    <n v="5.3333333333333337E-2"/>
    <n v="1280"/>
    <n v="7.3046875"/>
  </r>
  <r>
    <x v="8"/>
    <x v="1"/>
    <n v="8500"/>
    <n v="430"/>
    <n v="31800"/>
    <n v="29"/>
    <n v="270000"/>
    <n v="5.0588235294117649E-2"/>
    <n v="73.95348837209302"/>
    <n v="6.7441860465116285E-2"/>
    <n v="1096.5517241379309"/>
    <n v="8.4905660377358494"/>
  </r>
  <r>
    <x v="8"/>
    <x v="2"/>
    <n v="10500"/>
    <n v="275"/>
    <n v="21200"/>
    <n v="17"/>
    <n v="165000"/>
    <n v="2.6190476190476191E-2"/>
    <n v="77.090909090909093"/>
    <n v="6.1818181818181821E-2"/>
    <n v="1247.0588235294117"/>
    <n v="7.783018867924528"/>
  </r>
  <r>
    <x v="9"/>
    <x v="0"/>
    <n v="12400"/>
    <n v="378"/>
    <n v="25800"/>
    <n v="20"/>
    <n v="188000"/>
    <n v="3.0483870967741935E-2"/>
    <n v="68.253968253968253"/>
    <n v="5.2910052910052907E-2"/>
    <n v="1290"/>
    <n v="7.2868217054263562"/>
  </r>
  <r>
    <x v="9"/>
    <x v="1"/>
    <n v="8550"/>
    <n v="435"/>
    <n v="32000"/>
    <n v="29"/>
    <n v="272000"/>
    <n v="5.0877192982456139E-2"/>
    <n v="73.563218390804593"/>
    <n v="6.6666666666666666E-2"/>
    <n v="1103.4482758620691"/>
    <n v="8.5"/>
  </r>
  <r>
    <x v="9"/>
    <x v="2"/>
    <n v="10550"/>
    <n v="277"/>
    <n v="21300"/>
    <n v="17"/>
    <n v="167000"/>
    <n v="2.6255924170616115E-2"/>
    <n v="76.895306859205775"/>
    <n v="6.1371841155234655E-2"/>
    <n v="1252.9411764705883"/>
    <n v="7.84037558685446"/>
  </r>
  <r>
    <x v="10"/>
    <x v="0"/>
    <n v="12500"/>
    <n v="380"/>
    <n v="26000"/>
    <n v="20"/>
    <n v="190000"/>
    <n v="3.04E-2"/>
    <n v="68.421052631578945"/>
    <n v="5.2631578947368418E-2"/>
    <n v="1300"/>
    <n v="7.3076923076923075"/>
  </r>
  <r>
    <x v="10"/>
    <x v="1"/>
    <n v="8600"/>
    <n v="438"/>
    <n v="32200"/>
    <n v="30"/>
    <n v="275000"/>
    <n v="5.0930232558139533E-2"/>
    <n v="73.515981735159812"/>
    <n v="6.8493150684931503E-2"/>
    <n v="1073.3333333333333"/>
    <n v="8.5403726708074537"/>
  </r>
  <r>
    <x v="10"/>
    <x v="2"/>
    <n v="10600"/>
    <n v="280"/>
    <n v="21500"/>
    <n v="18"/>
    <n v="170000"/>
    <n v="2.6415094339622643E-2"/>
    <n v="76.785714285714292"/>
    <n v="6.4285714285714279E-2"/>
    <n v="1194.4444444444443"/>
    <n v="7.9069767441860463"/>
  </r>
  <r>
    <x v="11"/>
    <x v="0"/>
    <n v="12600"/>
    <n v="383"/>
    <n v="26200"/>
    <n v="21"/>
    <n v="192000"/>
    <n v="3.0396825396825398E-2"/>
    <n v="68.407310704960835"/>
    <n v="5.4830287206266322E-2"/>
    <n v="1247.6190476190477"/>
    <n v="7.3282442748091601"/>
  </r>
  <r>
    <x v="11"/>
    <x v="1"/>
    <n v="8650"/>
    <n v="440"/>
    <n v="32500"/>
    <n v="30"/>
    <n v="277000"/>
    <n v="5.086705202312139E-2"/>
    <n v="73.86363636363636"/>
    <n v="6.8181818181818177E-2"/>
    <n v="1083.3333333333333"/>
    <n v="8.523076923076923"/>
  </r>
  <r>
    <x v="11"/>
    <x v="2"/>
    <n v="10650"/>
    <n v="282"/>
    <n v="21600"/>
    <n v="18"/>
    <n v="172000"/>
    <n v="2.647887323943662E-2"/>
    <n v="76.59574468085107"/>
    <n v="6.3829787234042548E-2"/>
    <n v="1200"/>
    <n v="7.9629629629629628"/>
  </r>
  <r>
    <x v="12"/>
    <x v="0"/>
    <n v="12700"/>
    <n v="385"/>
    <n v="26400"/>
    <n v="21"/>
    <n v="193000"/>
    <n v="3.0314960629921259E-2"/>
    <n v="68.571428571428569"/>
    <n v="5.4545454545454543E-2"/>
    <n v="1257.1428571428571"/>
    <n v="7.3106060606060606"/>
  </r>
  <r>
    <x v="12"/>
    <x v="1"/>
    <n v="8700"/>
    <n v="443"/>
    <n v="32800"/>
    <n v="31"/>
    <n v="280000"/>
    <n v="5.0919540229885055E-2"/>
    <n v="74.040632054176072"/>
    <n v="6.9977426636568849E-2"/>
    <n v="1058.0645161290322"/>
    <n v="8.536585365853659"/>
  </r>
  <r>
    <x v="12"/>
    <x v="2"/>
    <n v="10700"/>
    <n v="285"/>
    <n v="21800"/>
    <n v="18"/>
    <n v="174000"/>
    <n v="2.6635514018691589E-2"/>
    <n v="76.491228070175438"/>
    <n v="6.3157894736842107E-2"/>
    <n v="1211.1111111111111"/>
    <n v="7.9816513761467887"/>
  </r>
  <r>
    <x v="13"/>
    <x v="0"/>
    <n v="12800"/>
    <n v="388"/>
    <n v="26600"/>
    <n v="22"/>
    <n v="195000"/>
    <n v="3.0312499999999999E-2"/>
    <n v="68.55670103092784"/>
    <n v="5.6701030927835051E-2"/>
    <n v="1209.090909090909"/>
    <n v="7.3308270676691727"/>
  </r>
  <r>
    <x v="13"/>
    <x v="1"/>
    <n v="8750"/>
    <n v="445"/>
    <n v="33000"/>
    <n v="31"/>
    <n v="282000"/>
    <n v="5.0857142857142858E-2"/>
    <n v="74.157303370786522"/>
    <n v="6.9662921348314602E-2"/>
    <n v="1064.516129032258"/>
    <n v="8.545454545454545"/>
  </r>
  <r>
    <x v="13"/>
    <x v="2"/>
    <n v="10750"/>
    <n v="287"/>
    <n v="22000"/>
    <n v="19"/>
    <n v="175000"/>
    <n v="2.6697674418604652E-2"/>
    <n v="76.655052264808361"/>
    <n v="6.6202090592334492E-2"/>
    <n v="1157.8947368421052"/>
    <n v="7.9545454545454541"/>
  </r>
  <r>
    <x v="14"/>
    <x v="0"/>
    <n v="12900"/>
    <n v="390"/>
    <n v="26800"/>
    <n v="22"/>
    <n v="197000"/>
    <n v="3.0232558139534883E-2"/>
    <n v="68.717948717948715"/>
    <n v="5.6410256410256411E-2"/>
    <n v="1218.1818181818182"/>
    <n v="7.3507462686567164"/>
  </r>
  <r>
    <x v="14"/>
    <x v="1"/>
    <n v="8800"/>
    <n v="448"/>
    <n v="33300"/>
    <n v="32"/>
    <n v="285000"/>
    <n v="5.0909090909090911E-2"/>
    <n v="74.330357142857139"/>
    <n v="7.1428571428571425E-2"/>
    <n v="1040.625"/>
    <n v="8.5585585585585591"/>
  </r>
  <r>
    <x v="14"/>
    <x v="2"/>
    <n v="10800"/>
    <n v="290"/>
    <n v="22200"/>
    <n v="19"/>
    <n v="177000"/>
    <n v="2.6851851851851852E-2"/>
    <n v="76.551724137931032"/>
    <n v="6.5517241379310351E-2"/>
    <n v="1168.421052631579"/>
    <n v="7.9729729729729728"/>
  </r>
  <r>
    <x v="15"/>
    <x v="0"/>
    <n v="13000"/>
    <n v="393"/>
    <n v="27000"/>
    <n v="23"/>
    <n v="200000"/>
    <n v="3.0230769230769231E-2"/>
    <n v="68.702290076335885"/>
    <n v="5.8524173027989825E-2"/>
    <n v="1173.9130434782608"/>
    <n v="7.4074074074074074"/>
  </r>
  <r>
    <x v="15"/>
    <x v="1"/>
    <n v="8850"/>
    <n v="450"/>
    <n v="33500"/>
    <n v="32"/>
    <n v="287000"/>
    <n v="5.0847457627118647E-2"/>
    <n v="74.444444444444443"/>
    <n v="7.1111111111111111E-2"/>
    <n v="1046.875"/>
    <n v="8.567164179104477"/>
  </r>
  <r>
    <x v="15"/>
    <x v="2"/>
    <n v="10850"/>
    <n v="292"/>
    <n v="22300"/>
    <n v="19"/>
    <n v="179000"/>
    <n v="2.6912442396313366E-2"/>
    <n v="76.369863013698634"/>
    <n v="6.5068493150684928E-2"/>
    <n v="1173.6842105263158"/>
    <n v="8.0269058295964122"/>
  </r>
  <r>
    <x v="16"/>
    <x v="0"/>
    <n v="13100"/>
    <n v="395"/>
    <n v="27200"/>
    <n v="23"/>
    <n v="202000"/>
    <n v="3.015267175572519E-2"/>
    <n v="68.860759493670884"/>
    <n v="5.8227848101265821E-2"/>
    <n v="1182.608695652174"/>
    <n v="7.4264705882352944"/>
  </r>
  <r>
    <x v="16"/>
    <x v="1"/>
    <n v="8900"/>
    <n v="453"/>
    <n v="33800"/>
    <n v="33"/>
    <n v="290000"/>
    <n v="5.0898876404494385E-2"/>
    <n v="74.613686534216342"/>
    <n v="7.2847682119205295E-2"/>
    <n v="1024.2424242424242"/>
    <n v="8.5798816568047336"/>
  </r>
  <r>
    <x v="16"/>
    <x v="2"/>
    <n v="10900"/>
    <n v="295"/>
    <n v="22500"/>
    <n v="20"/>
    <n v="180000"/>
    <n v="2.706422018348624E-2"/>
    <n v="76.271186440677965"/>
    <n v="6.7796610169491525E-2"/>
    <n v="1125"/>
    <n v="8"/>
  </r>
  <r>
    <x v="17"/>
    <x v="0"/>
    <n v="13200"/>
    <n v="398"/>
    <n v="27400"/>
    <n v="23"/>
    <n v="203000"/>
    <n v="3.0151515151515151E-2"/>
    <n v="68.844221105527637"/>
    <n v="5.7788944723618091E-2"/>
    <n v="1191.304347826087"/>
    <n v="7.4087591240875916"/>
  </r>
  <r>
    <x v="17"/>
    <x v="1"/>
    <n v="8950"/>
    <n v="455"/>
    <n v="34000"/>
    <n v="33"/>
    <n v="292000"/>
    <n v="5.0837988826815644E-2"/>
    <n v="74.72527472527473"/>
    <n v="7.2527472527472533E-2"/>
    <n v="1030.3030303030303"/>
    <n v="8.5882352941176467"/>
  </r>
  <r>
    <x v="17"/>
    <x v="2"/>
    <n v="10950"/>
    <n v="297"/>
    <n v="22700"/>
    <n v="20"/>
    <n v="182000"/>
    <n v="2.7123287671232878E-2"/>
    <n v="76.430976430976429"/>
    <n v="6.7340067340067339E-2"/>
    <n v="1135"/>
    <n v="8.0176211453744486"/>
  </r>
  <r>
    <x v="18"/>
    <x v="0"/>
    <n v="13300"/>
    <n v="400"/>
    <n v="27600"/>
    <n v="24"/>
    <n v="205000"/>
    <n v="3.007518796992481E-2"/>
    <n v="69"/>
    <n v="0.06"/>
    <n v="1150"/>
    <n v="7.4275362318840576"/>
  </r>
  <r>
    <x v="18"/>
    <x v="1"/>
    <n v="9000"/>
    <n v="458"/>
    <n v="34300"/>
    <n v="34"/>
    <n v="295000"/>
    <n v="5.0888888888888886E-2"/>
    <n v="74.890829694323145"/>
    <n v="7.4235807860262015E-2"/>
    <n v="1008.8235294117648"/>
    <n v="8.6005830903790095"/>
  </r>
  <r>
    <x v="18"/>
    <x v="2"/>
    <n v="11000"/>
    <n v="300"/>
    <n v="22800"/>
    <n v="20"/>
    <n v="184000"/>
    <n v="2.7272727272727271E-2"/>
    <n v="76"/>
    <n v="6.6666666666666666E-2"/>
    <n v="1140"/>
    <n v="8.0701754385964914"/>
  </r>
  <r>
    <x v="19"/>
    <x v="0"/>
    <n v="13400"/>
    <n v="403"/>
    <n v="27800"/>
    <n v="24"/>
    <n v="207000"/>
    <n v="3.0074626865671642E-2"/>
    <n v="68.982630272952861"/>
    <n v="5.9553349875930521E-2"/>
    <n v="1158.3333333333333"/>
    <n v="7.4460431654676258"/>
  </r>
  <r>
    <x v="19"/>
    <x v="1"/>
    <n v="9050"/>
    <n v="460"/>
    <n v="34500"/>
    <n v="34"/>
    <n v="297000"/>
    <n v="5.0828729281767959E-2"/>
    <n v="75"/>
    <n v="7.3913043478260873E-2"/>
    <n v="1014.7058823529412"/>
    <n v="8.6086956521739122"/>
  </r>
  <r>
    <x v="19"/>
    <x v="2"/>
    <n v="11050"/>
    <n v="302"/>
    <n v="23000"/>
    <n v="21"/>
    <n v="185000"/>
    <n v="2.7330316742081449E-2"/>
    <n v="76.158940397350989"/>
    <n v="6.9536423841059597E-2"/>
    <n v="1095.2380952380952"/>
    <n v="8.0434782608695645"/>
  </r>
  <r>
    <x v="20"/>
    <x v="0"/>
    <n v="13500"/>
    <n v="405"/>
    <n v="28000"/>
    <n v="25"/>
    <n v="210000"/>
    <n v="0.03"/>
    <n v="69.135802469135797"/>
    <n v="6.1728395061728392E-2"/>
    <n v="1120"/>
    <n v="7.5"/>
  </r>
  <r>
    <x v="20"/>
    <x v="1"/>
    <n v="9100"/>
    <n v="463"/>
    <n v="34800"/>
    <n v="35"/>
    <n v="300000"/>
    <n v="5.087912087912088E-2"/>
    <n v="75.161987041036724"/>
    <n v="7.5593952483801297E-2"/>
    <n v="994.28571428571433"/>
    <n v="8.6206896551724146"/>
  </r>
  <r>
    <x v="20"/>
    <x v="2"/>
    <n v="11100"/>
    <n v="305"/>
    <n v="23200"/>
    <n v="21"/>
    <n v="187000"/>
    <n v="2.7477477477477478E-2"/>
    <n v="76.06557377049181"/>
    <n v="6.8852459016393447E-2"/>
    <n v="1104.7619047619048"/>
    <n v="8.0603448275862064"/>
  </r>
  <r>
    <x v="21"/>
    <x v="0"/>
    <n v="13600"/>
    <n v="408"/>
    <n v="28200"/>
    <n v="25"/>
    <n v="212000"/>
    <n v="0.03"/>
    <n v="69.117647058823536"/>
    <n v="6.1274509803921566E-2"/>
    <n v="1128"/>
    <n v="7.5177304964539005"/>
  </r>
  <r>
    <x v="21"/>
    <x v="1"/>
    <n v="9150"/>
    <n v="465"/>
    <n v="35000"/>
    <n v="35"/>
    <n v="302000"/>
    <n v="5.0819672131147541E-2"/>
    <n v="75.268817204301072"/>
    <n v="7.5268817204301078E-2"/>
    <n v="1000"/>
    <n v="8.6285714285714281"/>
  </r>
  <r>
    <x v="21"/>
    <x v="2"/>
    <n v="11150"/>
    <n v="307"/>
    <n v="23400"/>
    <n v="22"/>
    <n v="189000"/>
    <n v="2.7533632286995516E-2"/>
    <n v="76.2214983713355"/>
    <n v="7.1661237785016291E-2"/>
    <n v="1063.6363636363637"/>
    <n v="8.0769230769230766"/>
  </r>
  <r>
    <x v="22"/>
    <x v="0"/>
    <n v="13700"/>
    <n v="410"/>
    <n v="28400"/>
    <n v="26"/>
    <n v="215000"/>
    <n v="2.9927007299270073E-2"/>
    <n v="69.268292682926827"/>
    <n v="6.3414634146341464E-2"/>
    <n v="1092.3076923076924"/>
    <n v="7.570422535211268"/>
  </r>
  <r>
    <x v="22"/>
    <x v="1"/>
    <n v="9200"/>
    <n v="468"/>
    <n v="35300"/>
    <n v="36"/>
    <n v="305000"/>
    <n v="5.0869565217391305E-2"/>
    <n v="75.427350427350433"/>
    <n v="7.6923076923076927E-2"/>
    <n v="980.55555555555554"/>
    <n v="8.640226628895185"/>
  </r>
  <r>
    <x v="22"/>
    <x v="2"/>
    <n v="11200"/>
    <n v="310"/>
    <n v="23600"/>
    <n v="22"/>
    <n v="191000"/>
    <n v="2.7678571428571427E-2"/>
    <n v="76.129032258064512"/>
    <n v="7.0967741935483872E-2"/>
    <n v="1072.7272727272727"/>
    <n v="8.0932203389830502"/>
  </r>
  <r>
    <x v="23"/>
    <x v="0"/>
    <n v="13800"/>
    <n v="413"/>
    <n v="28600"/>
    <n v="26"/>
    <n v="217000"/>
    <n v="2.9927536231884058E-2"/>
    <n v="69.24939467312349"/>
    <n v="6.2953995157384993E-2"/>
    <n v="1100"/>
    <n v="7.5874125874125875"/>
  </r>
  <r>
    <x v="23"/>
    <x v="1"/>
    <n v="9250"/>
    <n v="470"/>
    <n v="35500"/>
    <n v="36"/>
    <n v="307000"/>
    <n v="5.0810810810810812E-2"/>
    <n v="75.531914893617028"/>
    <n v="7.6595744680851063E-2"/>
    <n v="986.11111111111109"/>
    <n v="8.647887323943662"/>
  </r>
  <r>
    <x v="23"/>
    <x v="2"/>
    <n v="11250"/>
    <n v="312"/>
    <n v="23800"/>
    <n v="22"/>
    <n v="193000"/>
    <n v="2.7733333333333332E-2"/>
    <n v="76.282051282051285"/>
    <n v="7.0512820512820512E-2"/>
    <n v="1081.8181818181818"/>
    <n v="8.1092436974789912"/>
  </r>
  <r>
    <x v="24"/>
    <x v="0"/>
    <n v="13900"/>
    <n v="415"/>
    <n v="28800"/>
    <n v="27"/>
    <n v="220000"/>
    <n v="2.985611510791367E-2"/>
    <n v="69.397590361445779"/>
    <n v="6.5060240963855417E-2"/>
    <n v="1066.6666666666667"/>
    <n v="7.6388888888888893"/>
  </r>
  <r>
    <x v="24"/>
    <x v="1"/>
    <n v="9300"/>
    <n v="473"/>
    <n v="35800"/>
    <n v="37"/>
    <n v="310000"/>
    <n v="5.0860215053763438E-2"/>
    <n v="75.687103594080341"/>
    <n v="7.8224101479915431E-2"/>
    <n v="967.56756756756761"/>
    <n v="8.6592178770949726"/>
  </r>
  <r>
    <x v="24"/>
    <x v="2"/>
    <n v="11300"/>
    <n v="315"/>
    <n v="24000"/>
    <n v="23"/>
    <n v="195000"/>
    <n v="2.7876106194690265E-2"/>
    <n v="76.19047619047619"/>
    <n v="7.301587301587302E-2"/>
    <n v="1043.4782608695652"/>
    <n v="8.125"/>
  </r>
  <r>
    <x v="25"/>
    <x v="0"/>
    <n v="14000"/>
    <n v="418"/>
    <n v="29000"/>
    <n v="27"/>
    <n v="222000"/>
    <n v="2.9857142857142856E-2"/>
    <n v="69.377990430622006"/>
    <n v="6.4593301435406703E-2"/>
    <n v="1074.0740740740741"/>
    <n v="7.6551724137931032"/>
  </r>
  <r>
    <x v="25"/>
    <x v="1"/>
    <n v="9350"/>
    <n v="475"/>
    <n v="36000"/>
    <n v="37"/>
    <n v="312000"/>
    <n v="5.0802139037433157E-2"/>
    <n v="75.78947368421052"/>
    <n v="7.7894736842105267E-2"/>
    <n v="972.97297297297303"/>
    <n v="8.6666666666666661"/>
  </r>
  <r>
    <x v="25"/>
    <x v="2"/>
    <n v="11350"/>
    <n v="317"/>
    <n v="24200"/>
    <n v="23"/>
    <n v="197000"/>
    <n v="2.7929515418502204E-2"/>
    <n v="76.34069400630915"/>
    <n v="7.2555205047318619E-2"/>
    <n v="1052.1739130434783"/>
    <n v="8.1404958677685944"/>
  </r>
  <r>
    <x v="26"/>
    <x v="0"/>
    <n v="14100"/>
    <n v="420"/>
    <n v="29200"/>
    <n v="28"/>
    <n v="225000"/>
    <n v="2.9787234042553193E-2"/>
    <n v="69.523809523809518"/>
    <n v="6.6666666666666666E-2"/>
    <n v="1042.8571428571429"/>
    <n v="7.7054794520547949"/>
  </r>
  <r>
    <x v="26"/>
    <x v="1"/>
    <n v="9400"/>
    <n v="478"/>
    <n v="36300"/>
    <n v="38"/>
    <n v="315000"/>
    <n v="5.0851063829787234E-2"/>
    <n v="75.941422594142253"/>
    <n v="7.9497907949790794E-2"/>
    <n v="955.26315789473688"/>
    <n v="8.677685950413224"/>
  </r>
  <r>
    <x v="26"/>
    <x v="2"/>
    <n v="11400"/>
    <n v="320"/>
    <n v="24400"/>
    <n v="23"/>
    <n v="199000"/>
    <n v="2.8070175438596492E-2"/>
    <n v="76.25"/>
    <n v="7.1874999999999994E-2"/>
    <n v="1060.8695652173913"/>
    <n v="8.1557377049180335"/>
  </r>
  <r>
    <x v="27"/>
    <x v="0"/>
    <n v="14200"/>
    <n v="423"/>
    <n v="29400"/>
    <n v="28"/>
    <n v="227000"/>
    <n v="2.9788732394366198E-2"/>
    <n v="69.503546099290787"/>
    <n v="6.6193853427895979E-2"/>
    <n v="1050"/>
    <n v="7.72108843537415"/>
  </r>
  <r>
    <x v="27"/>
    <x v="1"/>
    <n v="9450"/>
    <n v="480"/>
    <n v="36500"/>
    <n v="38"/>
    <n v="317000"/>
    <n v="5.0793650793650794E-2"/>
    <n v="76.041666666666671"/>
    <n v="7.9166666666666663E-2"/>
    <n v="960.52631578947364"/>
    <n v="8.6849315068493151"/>
  </r>
  <r>
    <x v="27"/>
    <x v="2"/>
    <n v="11450"/>
    <n v="322"/>
    <n v="24600"/>
    <n v="24"/>
    <n v="200000"/>
    <n v="2.8122270742358079E-2"/>
    <n v="76.397515527950304"/>
    <n v="7.4534161490683232E-2"/>
    <n v="1025"/>
    <n v="8.1300813008130088"/>
  </r>
  <r>
    <x v="28"/>
    <x v="0"/>
    <n v="14300"/>
    <n v="425"/>
    <n v="29600"/>
    <n v="29"/>
    <n v="230000"/>
    <n v="2.972027972027972E-2"/>
    <n v="69.647058823529406"/>
    <n v="6.8235294117647061E-2"/>
    <n v="1020.6896551724138"/>
    <n v="7.7702702702702702"/>
  </r>
  <r>
    <x v="28"/>
    <x v="1"/>
    <n v="9500"/>
    <n v="483"/>
    <n v="36800"/>
    <n v="39"/>
    <n v="320000"/>
    <n v="5.0842105263157897E-2"/>
    <n v="76.19047619047619"/>
    <n v="8.0745341614906832E-2"/>
    <n v="943.58974358974353"/>
    <n v="8.695652173913043"/>
  </r>
  <r>
    <x v="28"/>
    <x v="2"/>
    <n v="11500"/>
    <n v="325"/>
    <n v="24800"/>
    <n v="24"/>
    <n v="202000"/>
    <n v="2.8260869565217391E-2"/>
    <n v="76.307692307692307"/>
    <n v="7.3846153846153853E-2"/>
    <n v="1033.3333333333333"/>
    <n v="8.1451612903225801"/>
  </r>
  <r>
    <x v="29"/>
    <x v="0"/>
    <n v="14400"/>
    <n v="428"/>
    <n v="29800"/>
    <n v="29"/>
    <n v="232000"/>
    <n v="2.9722222222222223E-2"/>
    <n v="69.626168224299064"/>
    <n v="6.7757009345794386E-2"/>
    <n v="1027.5862068965516"/>
    <n v="7.7852348993288594"/>
  </r>
  <r>
    <x v="29"/>
    <x v="1"/>
    <n v="9550"/>
    <n v="485"/>
    <n v="37000"/>
    <n v="39"/>
    <n v="322000"/>
    <n v="5.0785340314136125E-2"/>
    <n v="76.288659793814432"/>
    <n v="8.0412371134020624E-2"/>
    <n v="948.71794871794873"/>
    <n v="8.7027027027027035"/>
  </r>
  <r>
    <x v="29"/>
    <x v="2"/>
    <n v="11550"/>
    <n v="327"/>
    <n v="25000"/>
    <n v="24"/>
    <n v="204000"/>
    <n v="2.8311688311688312E-2"/>
    <n v="76.452599388379198"/>
    <n v="7.3394495412844041E-2"/>
    <n v="1041.6666666666667"/>
    <n v="8.16"/>
  </r>
  <r>
    <x v="30"/>
    <x v="3"/>
    <m/>
    <m/>
    <m/>
    <m/>
    <m/>
    <m/>
    <m/>
    <m/>
    <n v="1147.2790981309504"/>
    <m/>
  </r>
  <r>
    <x v="30"/>
    <x v="3"/>
    <m/>
    <m/>
    <m/>
    <m/>
    <m/>
    <m/>
    <m/>
    <m/>
    <m/>
    <m/>
  </r>
  <r>
    <x v="30"/>
    <x v="3"/>
    <m/>
    <m/>
    <m/>
    <m/>
    <m/>
    <m/>
    <m/>
    <m/>
    <m/>
    <m/>
  </r>
  <r>
    <x v="30"/>
    <x v="3"/>
    <m/>
    <m/>
    <m/>
    <m/>
    <m/>
    <m/>
    <m/>
    <m/>
    <m/>
    <m/>
  </r>
  <r>
    <x v="30"/>
    <x v="3"/>
    <m/>
    <m/>
    <m/>
    <m/>
    <m/>
    <m/>
    <m/>
    <m/>
    <m/>
    <m/>
  </r>
  <r>
    <x v="30"/>
    <x v="3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676538-96CB-4C59-84A9-5FCAE78A2CF7}" name="Tableau croisé dynamique19" cacheId="7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2">
  <location ref="H50:L54" firstHeaderRow="1" firstDataRow="2" firstDataCol="1"/>
  <pivotFields count="14"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h="1" x="30"/>
        <item t="default"/>
      </items>
    </pivotField>
    <pivotField axis="axisCol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multipleItemSelectionAllowed="1" showAll="0" defaultSubtotal="0">
      <items count="368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h="1" sd="0" x="14"/>
        <item h="1" sd="0" x="15"/>
        <item h="1" sd="0" x="16"/>
        <item h="1" sd="0" x="17"/>
        <item h="1" sd="0" x="18"/>
        <item h="1" sd="0" x="19"/>
        <item h="1" sd="0" x="20"/>
        <item h="1" sd="0" x="21"/>
        <item h="1" sd="0" x="22"/>
        <item h="1" sd="0" x="23"/>
        <item h="1" sd="0" x="24"/>
        <item h="1" sd="0" x="25"/>
        <item h="1" sd="0" x="26"/>
        <item h="1" sd="0" x="27"/>
        <item h="1" sd="0" x="28"/>
        <item h="1" sd="0" x="29"/>
        <item h="1" sd="0" x="30"/>
        <item h="1"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h="1" sd="0" x="63"/>
        <item h="1" sd="0" x="64"/>
        <item h="1" sd="0" x="65"/>
        <item h="1" sd="0" x="66"/>
        <item h="1" sd="0" x="67"/>
        <item h="1" sd="0" x="68"/>
        <item h="1" sd="0" x="69"/>
        <item h="1" sd="0" x="70"/>
        <item h="1" sd="0" x="71"/>
        <item h="1" sd="0" x="72"/>
        <item h="1" sd="0" x="73"/>
        <item h="1" sd="0" x="74"/>
        <item h="1" sd="0" x="75"/>
        <item h="1" sd="0" x="76"/>
        <item h="1" sd="0" x="77"/>
        <item h="1" sd="0" x="78"/>
        <item h="1" sd="0" x="79"/>
        <item h="1" sd="0" x="80"/>
        <item h="1" sd="0" x="81"/>
        <item h="1" sd="0" x="82"/>
        <item h="1" sd="0" x="83"/>
        <item h="1" sd="0" x="84"/>
        <item h="1" sd="0" x="85"/>
        <item h="1" sd="0" x="86"/>
        <item h="1" sd="0" x="87"/>
        <item h="1" sd="0" x="88"/>
        <item h="1" sd="0" x="89"/>
        <item h="1" sd="0" x="90"/>
        <item h="1" sd="0" x="91"/>
        <item h="1" sd="0" x="92"/>
        <item h="1" sd="0" x="93"/>
        <item h="1" sd="0" x="94"/>
        <item h="1" sd="0" x="95"/>
        <item h="1" sd="0" x="96"/>
        <item h="1" sd="0" x="97"/>
        <item h="1" sd="0" x="98"/>
        <item h="1" sd="0" x="99"/>
        <item h="1" sd="0" x="100"/>
        <item h="1" sd="0" x="101"/>
        <item h="1" sd="0" x="102"/>
        <item h="1" sd="0" x="103"/>
        <item h="1" sd="0" x="104"/>
        <item h="1" sd="0" x="105"/>
        <item h="1" sd="0" x="106"/>
        <item h="1" sd="0" x="107"/>
        <item h="1" sd="0" x="108"/>
        <item h="1" sd="0" x="109"/>
        <item h="1" sd="0" x="110"/>
        <item h="1" sd="0" x="111"/>
        <item h="1" sd="0" x="112"/>
        <item h="1" sd="0" x="113"/>
        <item h="1" sd="0" x="114"/>
        <item h="1" sd="0" x="115"/>
        <item h="1" sd="0" x="116"/>
        <item h="1" sd="0" x="117"/>
        <item h="1" sd="0" x="118"/>
        <item h="1" sd="0" x="119"/>
        <item h="1" sd="0" x="120"/>
        <item h="1" sd="0" x="121"/>
        <item h="1" sd="0" x="122"/>
        <item h="1" sd="0" x="123"/>
        <item h="1" sd="0" x="124"/>
        <item h="1" sd="0" x="125"/>
        <item h="1" sd="0" x="126"/>
        <item h="1" sd="0" x="127"/>
        <item h="1" sd="0" x="128"/>
        <item h="1" sd="0" x="129"/>
        <item h="1" sd="0" x="130"/>
        <item h="1" sd="0" x="131"/>
        <item h="1" sd="0" x="132"/>
        <item h="1" sd="0" x="133"/>
        <item h="1" sd="0" x="134"/>
        <item h="1" sd="0" x="135"/>
        <item h="1" sd="0" x="136"/>
        <item h="1" sd="0" x="137"/>
        <item h="1" sd="0" x="138"/>
        <item h="1" sd="0" x="139"/>
        <item h="1" sd="0" x="140"/>
        <item h="1" sd="0" x="141"/>
        <item h="1" sd="0" x="142"/>
        <item h="1" sd="0" x="143"/>
        <item h="1" sd="0" x="144"/>
        <item h="1" sd="0" x="145"/>
        <item h="1" sd="0" x="146"/>
        <item h="1" sd="0" x="147"/>
        <item h="1" sd="0" x="148"/>
        <item h="1" sd="0" x="149"/>
        <item h="1" sd="0" x="150"/>
        <item h="1" sd="0" x="151"/>
        <item h="1" sd="0" x="152"/>
        <item h="1" sd="0" x="153"/>
        <item h="1" sd="0" x="154"/>
        <item h="1" sd="0" x="155"/>
        <item h="1" sd="0" x="156"/>
        <item h="1" sd="0" x="157"/>
        <item h="1" sd="0" x="158"/>
        <item h="1" sd="0" x="159"/>
        <item h="1" sd="0" x="160"/>
        <item h="1" sd="0" x="161"/>
        <item h="1" sd="0" x="162"/>
        <item h="1" sd="0" x="163"/>
        <item h="1" sd="0" x="164"/>
        <item h="1" sd="0" x="165"/>
        <item h="1" sd="0" x="166"/>
        <item h="1" sd="0" x="167"/>
        <item h="1" sd="0" x="168"/>
        <item h="1" sd="0" x="169"/>
        <item h="1" sd="0" x="170"/>
        <item h="1" sd="0" x="171"/>
        <item h="1" sd="0" x="172"/>
        <item h="1" sd="0" x="173"/>
        <item h="1" sd="0" x="174"/>
        <item h="1" sd="0" x="175"/>
        <item h="1" sd="0" x="176"/>
        <item h="1" sd="0" x="177"/>
        <item h="1" sd="0" x="178"/>
        <item h="1" sd="0" x="179"/>
        <item h="1" sd="0" x="180"/>
        <item h="1" sd="0" x="181"/>
        <item h="1" sd="0" x="182"/>
        <item h="1" sd="0" x="183"/>
        <item h="1" sd="0" x="184"/>
        <item h="1" sd="0" x="185"/>
        <item h="1" sd="0" x="186"/>
        <item h="1" sd="0" x="187"/>
        <item h="1" sd="0" x="188"/>
        <item h="1" sd="0" x="189"/>
        <item h="1" sd="0" x="190"/>
        <item h="1" sd="0" x="191"/>
        <item h="1" sd="0" x="192"/>
        <item h="1" sd="0" x="193"/>
        <item h="1" sd="0" x="194"/>
        <item h="1" sd="0" x="195"/>
        <item h="1" sd="0" x="196"/>
        <item h="1" sd="0" x="197"/>
        <item h="1" sd="0" x="198"/>
        <item h="1" sd="0" x="199"/>
        <item h="1" sd="0" x="200"/>
        <item h="1" sd="0" x="201"/>
        <item h="1" sd="0" x="202"/>
        <item h="1" sd="0" x="203"/>
        <item h="1" sd="0" x="204"/>
        <item h="1" sd="0" x="205"/>
        <item h="1" sd="0" x="206"/>
        <item h="1" sd="0" x="207"/>
        <item h="1" sd="0" x="208"/>
        <item h="1" sd="0" x="209"/>
        <item h="1" sd="0" x="210"/>
        <item h="1" sd="0" x="211"/>
        <item h="1" sd="0" x="212"/>
        <item h="1" sd="0" x="213"/>
        <item h="1" sd="0" x="214"/>
        <item h="1" sd="0" x="215"/>
        <item h="1" sd="0" x="216"/>
        <item h="1" sd="0" x="217"/>
        <item h="1" sd="0" x="218"/>
        <item h="1" sd="0" x="219"/>
        <item h="1" sd="0" x="220"/>
        <item h="1" sd="0" x="221"/>
        <item h="1" sd="0" x="222"/>
        <item h="1" sd="0" x="223"/>
        <item h="1" sd="0" x="224"/>
        <item h="1" sd="0" x="225"/>
        <item h="1" sd="0" x="226"/>
        <item h="1" sd="0" x="227"/>
        <item h="1" sd="0" x="228"/>
        <item h="1" sd="0" x="229"/>
        <item h="1" sd="0" x="230"/>
        <item h="1" sd="0" x="231"/>
        <item h="1" sd="0" x="232"/>
        <item h="1" sd="0" x="233"/>
        <item h="1" sd="0" x="234"/>
        <item h="1" sd="0" x="235"/>
        <item h="1" sd="0" x="236"/>
        <item h="1" sd="0" x="237"/>
        <item h="1" sd="0" x="238"/>
        <item h="1" sd="0" x="239"/>
        <item h="1" sd="0" x="240"/>
        <item h="1" sd="0" x="241"/>
        <item h="1" sd="0" x="242"/>
        <item h="1" sd="0" x="243"/>
        <item h="1" sd="0" x="244"/>
        <item h="1" sd="0" x="245"/>
        <item h="1" sd="0" x="246"/>
        <item h="1" sd="0" x="247"/>
        <item h="1" sd="0" x="248"/>
        <item h="1" sd="0" x="249"/>
        <item h="1" sd="0" x="250"/>
        <item h="1" sd="0" x="251"/>
        <item h="1" sd="0" x="252"/>
        <item h="1" sd="0" x="253"/>
        <item h="1" sd="0" x="254"/>
        <item h="1" sd="0" x="255"/>
        <item h="1" sd="0" x="256"/>
        <item h="1" sd="0" x="257"/>
        <item h="1" sd="0" x="258"/>
        <item h="1" sd="0" x="259"/>
        <item h="1" sd="0" x="260"/>
        <item h="1" sd="0" x="261"/>
        <item h="1" sd="0" x="262"/>
        <item h="1" sd="0" x="263"/>
        <item h="1" sd="0" x="264"/>
        <item h="1" sd="0" x="265"/>
        <item h="1" sd="0" x="266"/>
        <item h="1" sd="0" x="267"/>
        <item h="1" sd="0" x="268"/>
        <item h="1" sd="0" x="269"/>
        <item h="1" sd="0" x="270"/>
        <item h="1" sd="0" x="271"/>
        <item h="1" sd="0" x="272"/>
        <item h="1" sd="0" x="273"/>
        <item h="1" sd="0" x="274"/>
        <item h="1" sd="0" x="275"/>
        <item h="1" sd="0" x="276"/>
        <item h="1" sd="0" x="277"/>
        <item h="1" sd="0" x="278"/>
        <item h="1" sd="0" x="279"/>
        <item h="1" sd="0" x="280"/>
        <item h="1" sd="0" x="281"/>
        <item h="1" sd="0" x="282"/>
        <item h="1" sd="0" x="283"/>
        <item h="1" sd="0" x="284"/>
        <item h="1" sd="0" x="285"/>
        <item h="1" sd="0" x="286"/>
        <item h="1" sd="0" x="287"/>
        <item h="1" sd="0" x="288"/>
        <item h="1" sd="0" x="289"/>
        <item h="1" sd="0" x="290"/>
        <item h="1" sd="0" x="291"/>
        <item h="1" sd="0" x="292"/>
        <item h="1" sd="0" x="293"/>
        <item h="1" sd="0" x="294"/>
        <item h="1" sd="0" x="295"/>
        <item h="1" sd="0" x="296"/>
        <item h="1" sd="0" x="297"/>
        <item h="1" sd="0" x="298"/>
        <item h="1" sd="0" x="299"/>
        <item h="1" sd="0" x="300"/>
        <item h="1" sd="0" x="301"/>
        <item h="1" sd="0" x="302"/>
        <item h="1" sd="0" x="303"/>
        <item h="1" sd="0" x="304"/>
        <item h="1" sd="0" x="305"/>
        <item h="1" sd="0" x="306"/>
        <item h="1" sd="0" x="307"/>
        <item h="1" sd="0" x="308"/>
        <item h="1" sd="0" x="309"/>
        <item h="1" sd="0" x="310"/>
        <item h="1" sd="0" x="311"/>
        <item h="1" sd="0" x="312"/>
        <item h="1" sd="0" x="313"/>
        <item h="1" sd="0" x="314"/>
        <item h="1" sd="0" x="315"/>
        <item h="1" sd="0" x="316"/>
        <item h="1" sd="0" x="317"/>
        <item h="1" sd="0" x="318"/>
        <item h="1" sd="0" x="319"/>
        <item h="1" sd="0" x="320"/>
        <item h="1" sd="0" x="321"/>
        <item h="1" sd="0" x="322"/>
        <item h="1" sd="0" x="323"/>
        <item h="1" sd="0" x="324"/>
        <item h="1" sd="0" x="325"/>
        <item h="1" sd="0" x="326"/>
        <item h="1" sd="0" x="327"/>
        <item h="1" sd="0" x="328"/>
        <item h="1" sd="0" x="329"/>
        <item h="1" sd="0" x="330"/>
        <item h="1" sd="0" x="331"/>
        <item h="1" sd="0" x="332"/>
        <item h="1" sd="0" x="333"/>
        <item h="1" sd="0" x="334"/>
        <item h="1" sd="0" x="335"/>
        <item h="1" sd="0" x="336"/>
        <item h="1" sd="0" x="337"/>
        <item h="1" sd="0" x="338"/>
        <item h="1" sd="0" x="339"/>
        <item h="1" sd="0" x="340"/>
        <item h="1" sd="0" x="341"/>
        <item h="1" sd="0" x="342"/>
        <item h="1" sd="0" x="343"/>
        <item h="1" sd="0" x="344"/>
        <item h="1" sd="0" x="345"/>
        <item h="1" sd="0" x="346"/>
        <item h="1" sd="0" x="347"/>
        <item h="1" sd="0" x="348"/>
        <item h="1" sd="0" x="349"/>
        <item h="1" sd="0" x="350"/>
        <item h="1" sd="0" x="351"/>
        <item h="1" sd="0" x="352"/>
        <item h="1" sd="0" x="353"/>
        <item h="1" sd="0" x="354"/>
        <item h="1" sd="0" x="355"/>
        <item h="1" sd="0" x="356"/>
        <item h="1" sd="0" x="357"/>
        <item h="1" sd="0" x="358"/>
        <item h="1" sd="0" x="359"/>
        <item h="1" sd="0" x="360"/>
        <item h="1" sd="0" x="361"/>
        <item h="1" sd="0" x="362"/>
        <item h="1" sd="0" x="363"/>
        <item h="1" sd="0" x="364"/>
        <item h="1" sd="0" x="365"/>
        <item h="1" sd="0" x="366"/>
        <item h="1" sd="0" x="367"/>
      </items>
    </pivotField>
    <pivotField axis="axisRow" showAll="0" defaultSubtotal="0">
      <items count="14">
        <item h="1" sd="0" x="0"/>
        <item h="1" sd="0" x="1"/>
        <item sd="0" x="2"/>
        <item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</items>
    </pivotField>
  </pivotFields>
  <rowFields count="3">
    <field x="13"/>
    <field x="12"/>
    <field x="0"/>
  </rowFields>
  <rowItems count="3"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omme de CTR (taux de click par vue)" fld="7" baseField="0" baseItem="0"/>
  </dataFields>
  <formats count="1">
    <format dxfId="10">
      <pivotArea outline="0" collapsedLevelsAreSubtotals="1" fieldPosition="0"/>
    </format>
  </formats>
  <chartFormats count="12"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7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7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7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577811-A6A3-4574-BA60-686A1121E65A}" name="Tableau croisé dynamique23" cacheId="7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K60:P65" firstHeaderRow="1" firstDataRow="2" firstDataCol="1"/>
  <pivotFields count="14"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3">
    <field x="13"/>
    <field x="12"/>
    <field x="0"/>
  </rowFields>
  <rowItems count="4">
    <i>
      <x/>
    </i>
    <i>
      <x v="2"/>
    </i>
    <i>
      <x v="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omme de Taux de conversion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F9D022-DE91-4A9A-A8C3-67BFFDCBD4D4}" name="Tableau croisé dynamique21" cacheId="7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9">
  <location ref="H60:I121" firstHeaderRow="1" firstDataRow="1" firstDataCol="1"/>
  <pivotFields count="14">
    <pivotField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showAll="0">
      <items count="5">
        <item h="1" x="0"/>
        <item h="1"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2">
    <field x="12"/>
    <field x="1"/>
  </rowFields>
  <rowItems count="61">
    <i>
      <x v="32"/>
    </i>
    <i r="1">
      <x v="2"/>
    </i>
    <i>
      <x v="33"/>
    </i>
    <i r="1">
      <x v="2"/>
    </i>
    <i>
      <x v="34"/>
    </i>
    <i r="1">
      <x v="2"/>
    </i>
    <i>
      <x v="35"/>
    </i>
    <i r="1">
      <x v="2"/>
    </i>
    <i>
      <x v="36"/>
    </i>
    <i r="1">
      <x v="2"/>
    </i>
    <i>
      <x v="37"/>
    </i>
    <i r="1">
      <x v="2"/>
    </i>
    <i>
      <x v="38"/>
    </i>
    <i r="1">
      <x v="2"/>
    </i>
    <i>
      <x v="39"/>
    </i>
    <i r="1">
      <x v="2"/>
    </i>
    <i>
      <x v="40"/>
    </i>
    <i r="1">
      <x v="2"/>
    </i>
    <i>
      <x v="41"/>
    </i>
    <i r="1">
      <x v="2"/>
    </i>
    <i>
      <x v="42"/>
    </i>
    <i r="1">
      <x v="2"/>
    </i>
    <i>
      <x v="43"/>
    </i>
    <i r="1">
      <x v="2"/>
    </i>
    <i>
      <x v="44"/>
    </i>
    <i r="1">
      <x v="2"/>
    </i>
    <i>
      <x v="45"/>
    </i>
    <i r="1">
      <x v="2"/>
    </i>
    <i>
      <x v="46"/>
    </i>
    <i r="1">
      <x v="2"/>
    </i>
    <i>
      <x v="47"/>
    </i>
    <i r="1">
      <x v="2"/>
    </i>
    <i>
      <x v="48"/>
    </i>
    <i r="1">
      <x v="2"/>
    </i>
    <i>
      <x v="49"/>
    </i>
    <i r="1">
      <x v="2"/>
    </i>
    <i>
      <x v="50"/>
    </i>
    <i r="1">
      <x v="2"/>
    </i>
    <i>
      <x v="51"/>
    </i>
    <i r="1">
      <x v="2"/>
    </i>
    <i>
      <x v="52"/>
    </i>
    <i r="1">
      <x v="2"/>
    </i>
    <i>
      <x v="53"/>
    </i>
    <i r="1">
      <x v="2"/>
    </i>
    <i>
      <x v="54"/>
    </i>
    <i r="1">
      <x v="2"/>
    </i>
    <i>
      <x v="55"/>
    </i>
    <i r="1">
      <x v="2"/>
    </i>
    <i>
      <x v="56"/>
    </i>
    <i r="1">
      <x v="2"/>
    </i>
    <i>
      <x v="57"/>
    </i>
    <i r="1">
      <x v="2"/>
    </i>
    <i>
      <x v="58"/>
    </i>
    <i r="1">
      <x v="2"/>
    </i>
    <i>
      <x v="59"/>
    </i>
    <i r="1">
      <x v="2"/>
    </i>
    <i>
      <x v="61"/>
    </i>
    <i r="1">
      <x v="2"/>
    </i>
    <i>
      <x v="62"/>
    </i>
    <i r="1">
      <x v="2"/>
    </i>
    <i t="grand">
      <x/>
    </i>
  </rowItems>
  <colItems count="1">
    <i/>
  </colItems>
  <dataFields count="1">
    <dataField name="Somme de ROAS (rentabilité des depenses)" fld="11" baseField="0" baseItem="0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AFA1E4-AE45-4A73-9109-BEDC24D54E68}" name="Tableau croisé dynamique20" cacheId="7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5">
  <location ref="A55:C87" firstHeaderRow="0" firstDataRow="1" firstDataCol="1"/>
  <pivotFields count="14">
    <pivotField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2"/>
  </rowFields>
  <rowItems count="32">
    <i>
      <x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1"/>
    </i>
    <i>
      <x v="62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Dépenses (FCFA)" fld="4" baseField="0" baseItem="0"/>
    <dataField name="Somme de Revenus (FCFA)" fld="6" baseField="0" baseItem="0"/>
  </dataFields>
  <chartFormats count="2"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CAD57E-DCC2-4C63-92FB-7D900B497F34}" name="Tableau croisé dynamique16" cacheId="7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6">
  <location ref="H43:L47" firstHeaderRow="1" firstDataRow="2" firstDataCol="1"/>
  <pivotFields count="14"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3">
    <field x="13"/>
    <field x="12"/>
    <field x="0"/>
  </rowFields>
  <rowItems count="3"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omme de ROAS (rentabilité des depenses)" fld="11" baseField="0" baseItem="0" numFmtId="43"/>
  </dataFields>
  <formats count="2">
    <format dxfId="8">
      <pivotArea outline="0" collapsedLevelsAreSubtotals="1" fieldPosition="0">
        <references count="1">
          <reference field="1" count="1" selected="0">
            <x v="0"/>
          </reference>
        </references>
      </pivotArea>
    </format>
    <format dxfId="9">
      <pivotArea outline="0" collapsedLevelsAreSubtotals="1" fieldPosition="0"/>
    </format>
  </formats>
  <chartFormats count="3"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C09E87-A300-4663-A80C-13B31B03885E}" name="Tableau croisé dynamique17" cacheId="7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5">
  <location ref="H26:L30" firstHeaderRow="1" firstDataRow="2" firstDataCol="1"/>
  <pivotFields count="14"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3">
    <field x="13"/>
    <field x="12"/>
    <field x="0"/>
  </rowFields>
  <rowItems count="3"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omme de CPA (cout par conversion)" fld="10" baseField="0" baseItem="0" numFmtId="43"/>
  </dataFields>
  <formats count="2">
    <format dxfId="6">
      <pivotArea collapsedLevelsAreSubtotals="1" fieldPosition="0">
        <references count="2">
          <reference field="1" count="1" selected="0">
            <x v="2"/>
          </reference>
          <reference field="13" count="1">
            <x v="2"/>
          </reference>
        </references>
      </pivotArea>
    </format>
    <format dxfId="7">
      <pivotArea outline="0" collapsedLevelsAreSubtotals="1" fieldPosition="0"/>
    </format>
  </formats>
  <chartFormats count="3"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CDA8B9-978E-40C2-B57E-84C3BF3DFCBC}" name="Tableau croisé dynamique13" cacheId="7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H18:L22" firstHeaderRow="1" firstDataRow="2" firstDataCol="1"/>
  <pivotFields count="14"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3">
    <field x="13"/>
    <field x="12"/>
    <field x="0"/>
  </rowFields>
  <rowItems count="3"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omme de Revenus (FCFA)" fld="6" baseField="0" baseItem="0" numFmtId="43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BE9278-4842-41C2-8453-1CEB78909728}" name="Tableau croisé dynamique12" cacheId="7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H11:P16" firstHeaderRow="1" firstDataRow="3" firstDataCol="1"/>
  <pivotFields count="14"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showAll="0">
      <items count="5">
        <item x="0"/>
        <item x="1"/>
        <item x="2"/>
        <item h="1" x="3"/>
        <item t="default"/>
      </items>
    </pivotField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3">
    <field x="13"/>
    <field x="12"/>
    <field x="0"/>
  </rowFields>
  <rowItems count="3">
    <i>
      <x v="2"/>
    </i>
    <i>
      <x v="3"/>
    </i>
    <i t="grand">
      <x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omme de Conversions" fld="5" baseField="0" baseItem="0" numFmtId="43"/>
    <dataField name="Somme de Impressions" fld="2" baseField="0" baseItem="0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8E5713-2153-426B-89BD-DB1143790C43}" name="Tableau croisé dynamique11" cacheId="7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H3:L7" firstHeaderRow="1" firstDataRow="2" firstDataCol="1"/>
  <pivotFields count="14"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showAll="0">
      <items count="5">
        <item x="0"/>
        <item x="1"/>
        <item x="2"/>
        <item h="1"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3">
    <field x="13"/>
    <field x="12"/>
    <field x="0"/>
  </rowFields>
  <rowItems count="3"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omme de Dépenses (FCFA)" fld="4" baseField="0" baseItem="0" numFmtId="43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88F0F3-9D03-40CF-A52C-C21D0AD97F93}" name="Tableau croisé dynamique10" cacheId="7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3">
  <location ref="H35:L38" firstHeaderRow="1" firstDataRow="2" firstDataCol="1"/>
  <pivotFields count="14"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h="1" sd="0" x="0"/>
        <item h="1" sd="0" x="1"/>
        <item h="1" sd="0" x="2"/>
        <item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</items>
    </pivotField>
  </pivotFields>
  <rowFields count="3">
    <field x="13"/>
    <field x="12"/>
    <field x="0"/>
  </rowFields>
  <rowItems count="2"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omme de Conversions" fld="5" baseField="0" baseItem="0" numFmtId="43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CFBDA1-0300-4F8E-B84A-3E6E9089FB8F}" name="Tableau croisé dynamique9" cacheId="7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8">
  <location ref="A18:E52" firstHeaderRow="1" firstDataRow="2" firstDataCol="1"/>
  <pivotFields count="14"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h="1" x="30"/>
        <item t="default"/>
      </items>
    </pivotField>
    <pivotField axis="axisCol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multipleItemSelectionAllowed="1" showAll="0" defaultSubtotal="0">
      <items count="368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h="1" sd="0" x="14"/>
        <item h="1" sd="0" x="15"/>
        <item h="1" sd="0" x="16"/>
        <item h="1" sd="0" x="17"/>
        <item h="1" sd="0" x="18"/>
        <item h="1" sd="0" x="19"/>
        <item h="1" sd="0" x="20"/>
        <item h="1" sd="0" x="21"/>
        <item h="1" sd="0" x="22"/>
        <item h="1" sd="0" x="23"/>
        <item h="1" sd="0" x="24"/>
        <item h="1" sd="0" x="25"/>
        <item h="1" sd="0" x="26"/>
        <item h="1" sd="0" x="27"/>
        <item h="1" sd="0" x="28"/>
        <item h="1" sd="0" x="29"/>
        <item h="1" sd="0" x="30"/>
        <item h="1"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h="1" sd="0" x="63"/>
        <item h="1" sd="0" x="64"/>
        <item h="1" sd="0" x="65"/>
        <item h="1" sd="0" x="66"/>
        <item h="1" sd="0" x="67"/>
        <item h="1" sd="0" x="68"/>
        <item h="1" sd="0" x="69"/>
        <item h="1" sd="0" x="70"/>
        <item h="1" sd="0" x="71"/>
        <item h="1" sd="0" x="72"/>
        <item h="1" sd="0" x="73"/>
        <item h="1" sd="0" x="74"/>
        <item h="1" sd="0" x="75"/>
        <item h="1" sd="0" x="76"/>
        <item h="1" sd="0" x="77"/>
        <item h="1" sd="0" x="78"/>
        <item h="1" sd="0" x="79"/>
        <item h="1" sd="0" x="80"/>
        <item h="1" sd="0" x="81"/>
        <item h="1" sd="0" x="82"/>
        <item h="1" sd="0" x="83"/>
        <item h="1" sd="0" x="84"/>
        <item h="1" sd="0" x="85"/>
        <item h="1" sd="0" x="86"/>
        <item h="1" sd="0" x="87"/>
        <item h="1" sd="0" x="88"/>
        <item h="1" sd="0" x="89"/>
        <item h="1" sd="0" x="90"/>
        <item h="1" sd="0" x="91"/>
        <item h="1" sd="0" x="92"/>
        <item h="1" sd="0" x="93"/>
        <item h="1" sd="0" x="94"/>
        <item h="1" sd="0" x="95"/>
        <item h="1" sd="0" x="96"/>
        <item h="1" sd="0" x="97"/>
        <item h="1" sd="0" x="98"/>
        <item h="1" sd="0" x="99"/>
        <item h="1" sd="0" x="100"/>
        <item h="1" sd="0" x="101"/>
        <item h="1" sd="0" x="102"/>
        <item h="1" sd="0" x="103"/>
        <item h="1" sd="0" x="104"/>
        <item h="1" sd="0" x="105"/>
        <item h="1" sd="0" x="106"/>
        <item h="1" sd="0" x="107"/>
        <item h="1" sd="0" x="108"/>
        <item h="1" sd="0" x="109"/>
        <item h="1" sd="0" x="110"/>
        <item h="1" sd="0" x="111"/>
        <item h="1" sd="0" x="112"/>
        <item h="1" sd="0" x="113"/>
        <item h="1" sd="0" x="114"/>
        <item h="1" sd="0" x="115"/>
        <item h="1" sd="0" x="116"/>
        <item h="1" sd="0" x="117"/>
        <item h="1" sd="0" x="118"/>
        <item h="1" sd="0" x="119"/>
        <item h="1" sd="0" x="120"/>
        <item h="1" sd="0" x="121"/>
        <item h="1" sd="0" x="122"/>
        <item h="1" sd="0" x="123"/>
        <item h="1" sd="0" x="124"/>
        <item h="1" sd="0" x="125"/>
        <item h="1" sd="0" x="126"/>
        <item h="1" sd="0" x="127"/>
        <item h="1" sd="0" x="128"/>
        <item h="1" sd="0" x="129"/>
        <item h="1" sd="0" x="130"/>
        <item h="1" sd="0" x="131"/>
        <item h="1" sd="0" x="132"/>
        <item h="1" sd="0" x="133"/>
        <item h="1" sd="0" x="134"/>
        <item h="1" sd="0" x="135"/>
        <item h="1" sd="0" x="136"/>
        <item h="1" sd="0" x="137"/>
        <item h="1" sd="0" x="138"/>
        <item h="1" sd="0" x="139"/>
        <item h="1" sd="0" x="140"/>
        <item h="1" sd="0" x="141"/>
        <item h="1" sd="0" x="142"/>
        <item h="1" sd="0" x="143"/>
        <item h="1" sd="0" x="144"/>
        <item h="1" sd="0" x="145"/>
        <item h="1" sd="0" x="146"/>
        <item h="1" sd="0" x="147"/>
        <item h="1" sd="0" x="148"/>
        <item h="1" sd="0" x="149"/>
        <item h="1" sd="0" x="150"/>
        <item h="1" sd="0" x="151"/>
        <item h="1" sd="0" x="152"/>
        <item h="1" sd="0" x="153"/>
        <item h="1" sd="0" x="154"/>
        <item h="1" sd="0" x="155"/>
        <item h="1" sd="0" x="156"/>
        <item h="1" sd="0" x="157"/>
        <item h="1" sd="0" x="158"/>
        <item h="1" sd="0" x="159"/>
        <item h="1" sd="0" x="160"/>
        <item h="1" sd="0" x="161"/>
        <item h="1" sd="0" x="162"/>
        <item h="1" sd="0" x="163"/>
        <item h="1" sd="0" x="164"/>
        <item h="1" sd="0" x="165"/>
        <item h="1" sd="0" x="166"/>
        <item h="1" sd="0" x="167"/>
        <item h="1" sd="0" x="168"/>
        <item h="1" sd="0" x="169"/>
        <item h="1" sd="0" x="170"/>
        <item h="1" sd="0" x="171"/>
        <item h="1" sd="0" x="172"/>
        <item h="1" sd="0" x="173"/>
        <item h="1" sd="0" x="174"/>
        <item h="1" sd="0" x="175"/>
        <item h="1" sd="0" x="176"/>
        <item h="1" sd="0" x="177"/>
        <item h="1" sd="0" x="178"/>
        <item h="1" sd="0" x="179"/>
        <item h="1" sd="0" x="180"/>
        <item h="1" sd="0" x="181"/>
        <item h="1" sd="0" x="182"/>
        <item h="1" sd="0" x="183"/>
        <item h="1" sd="0" x="184"/>
        <item h="1" sd="0" x="185"/>
        <item h="1" sd="0" x="186"/>
        <item h="1" sd="0" x="187"/>
        <item h="1" sd="0" x="188"/>
        <item h="1" sd="0" x="189"/>
        <item h="1" sd="0" x="190"/>
        <item h="1" sd="0" x="191"/>
        <item h="1" sd="0" x="192"/>
        <item h="1" sd="0" x="193"/>
        <item h="1" sd="0" x="194"/>
        <item h="1" sd="0" x="195"/>
        <item h="1" sd="0" x="196"/>
        <item h="1" sd="0" x="197"/>
        <item h="1" sd="0" x="198"/>
        <item h="1" sd="0" x="199"/>
        <item h="1" sd="0" x="200"/>
        <item h="1" sd="0" x="201"/>
        <item h="1" sd="0" x="202"/>
        <item h="1" sd="0" x="203"/>
        <item h="1" sd="0" x="204"/>
        <item h="1" sd="0" x="205"/>
        <item h="1" sd="0" x="206"/>
        <item h="1" sd="0" x="207"/>
        <item h="1" sd="0" x="208"/>
        <item h="1" sd="0" x="209"/>
        <item h="1" sd="0" x="210"/>
        <item h="1" sd="0" x="211"/>
        <item h="1" sd="0" x="212"/>
        <item h="1" sd="0" x="213"/>
        <item h="1" sd="0" x="214"/>
        <item h="1" sd="0" x="215"/>
        <item h="1" sd="0" x="216"/>
        <item h="1" sd="0" x="217"/>
        <item h="1" sd="0" x="218"/>
        <item h="1" sd="0" x="219"/>
        <item h="1" sd="0" x="220"/>
        <item h="1" sd="0" x="221"/>
        <item h="1" sd="0" x="222"/>
        <item h="1" sd="0" x="223"/>
        <item h="1" sd="0" x="224"/>
        <item h="1" sd="0" x="225"/>
        <item h="1" sd="0" x="226"/>
        <item h="1" sd="0" x="227"/>
        <item h="1" sd="0" x="228"/>
        <item h="1" sd="0" x="229"/>
        <item h="1" sd="0" x="230"/>
        <item h="1" sd="0" x="231"/>
        <item h="1" sd="0" x="232"/>
        <item h="1" sd="0" x="233"/>
        <item h="1" sd="0" x="234"/>
        <item h="1" sd="0" x="235"/>
        <item h="1" sd="0" x="236"/>
        <item h="1" sd="0" x="237"/>
        <item h="1" sd="0" x="238"/>
        <item h="1" sd="0" x="239"/>
        <item h="1" sd="0" x="240"/>
        <item h="1" sd="0" x="241"/>
        <item h="1" sd="0" x="242"/>
        <item h="1" sd="0" x="243"/>
        <item h="1" sd="0" x="244"/>
        <item h="1" sd="0" x="245"/>
        <item h="1" sd="0" x="246"/>
        <item h="1" sd="0" x="247"/>
        <item h="1" sd="0" x="248"/>
        <item h="1" sd="0" x="249"/>
        <item h="1" sd="0" x="250"/>
        <item h="1" sd="0" x="251"/>
        <item h="1" sd="0" x="252"/>
        <item h="1" sd="0" x="253"/>
        <item h="1" sd="0" x="254"/>
        <item h="1" sd="0" x="255"/>
        <item h="1" sd="0" x="256"/>
        <item h="1" sd="0" x="257"/>
        <item h="1" sd="0" x="258"/>
        <item h="1" sd="0" x="259"/>
        <item h="1" sd="0" x="260"/>
        <item h="1" sd="0" x="261"/>
        <item h="1" sd="0" x="262"/>
        <item h="1" sd="0" x="263"/>
        <item h="1" sd="0" x="264"/>
        <item h="1" sd="0" x="265"/>
        <item h="1" sd="0" x="266"/>
        <item h="1" sd="0" x="267"/>
        <item h="1" sd="0" x="268"/>
        <item h="1" sd="0" x="269"/>
        <item h="1" sd="0" x="270"/>
        <item h="1" sd="0" x="271"/>
        <item h="1" sd="0" x="272"/>
        <item h="1" sd="0" x="273"/>
        <item h="1" sd="0" x="274"/>
        <item h="1" sd="0" x="275"/>
        <item h="1" sd="0" x="276"/>
        <item h="1" sd="0" x="277"/>
        <item h="1" sd="0" x="278"/>
        <item h="1" sd="0" x="279"/>
        <item h="1" sd="0" x="280"/>
        <item h="1" sd="0" x="281"/>
        <item h="1" sd="0" x="282"/>
        <item h="1" sd="0" x="283"/>
        <item h="1" sd="0" x="284"/>
        <item h="1" sd="0" x="285"/>
        <item h="1" sd="0" x="286"/>
        <item h="1" sd="0" x="287"/>
        <item h="1" sd="0" x="288"/>
        <item h="1" sd="0" x="289"/>
        <item h="1" sd="0" x="290"/>
        <item h="1" sd="0" x="291"/>
        <item h="1" sd="0" x="292"/>
        <item h="1" sd="0" x="293"/>
        <item h="1" sd="0" x="294"/>
        <item h="1" sd="0" x="295"/>
        <item h="1" sd="0" x="296"/>
        <item h="1" sd="0" x="297"/>
        <item h="1" sd="0" x="298"/>
        <item h="1" sd="0" x="299"/>
        <item h="1" sd="0" x="300"/>
        <item h="1" sd="0" x="301"/>
        <item h="1" sd="0" x="302"/>
        <item h="1" sd="0" x="303"/>
        <item h="1" sd="0" x="304"/>
        <item h="1" sd="0" x="305"/>
        <item h="1" sd="0" x="306"/>
        <item h="1" sd="0" x="307"/>
        <item h="1" sd="0" x="308"/>
        <item h="1" sd="0" x="309"/>
        <item h="1" sd="0" x="310"/>
        <item h="1" sd="0" x="311"/>
        <item h="1" sd="0" x="312"/>
        <item h="1" sd="0" x="313"/>
        <item h="1" sd="0" x="314"/>
        <item h="1" sd="0" x="315"/>
        <item h="1" sd="0" x="316"/>
        <item h="1" sd="0" x="317"/>
        <item h="1" sd="0" x="318"/>
        <item h="1" sd="0" x="319"/>
        <item h="1" sd="0" x="320"/>
        <item h="1" sd="0" x="321"/>
        <item h="1" sd="0" x="322"/>
        <item h="1" sd="0" x="323"/>
        <item h="1" sd="0" x="324"/>
        <item h="1" sd="0" x="325"/>
        <item h="1" sd="0" x="326"/>
        <item h="1" sd="0" x="327"/>
        <item h="1" sd="0" x="328"/>
        <item h="1" sd="0" x="329"/>
        <item h="1" sd="0" x="330"/>
        <item h="1" sd="0" x="331"/>
        <item h="1" sd="0" x="332"/>
        <item h="1" sd="0" x="333"/>
        <item h="1" sd="0" x="334"/>
        <item h="1" sd="0" x="335"/>
        <item h="1" sd="0" x="336"/>
        <item h="1" sd="0" x="337"/>
        <item h="1" sd="0" x="338"/>
        <item h="1" sd="0" x="339"/>
        <item h="1" sd="0" x="340"/>
        <item h="1" sd="0" x="341"/>
        <item h="1" sd="0" x="342"/>
        <item h="1" sd="0" x="343"/>
        <item h="1" sd="0" x="344"/>
        <item h="1" sd="0" x="345"/>
        <item h="1" sd="0" x="346"/>
        <item h="1" sd="0" x="347"/>
        <item h="1" sd="0" x="348"/>
        <item h="1" sd="0" x="349"/>
        <item h="1" sd="0" x="350"/>
        <item h="1" sd="0" x="351"/>
        <item h="1" sd="0" x="352"/>
        <item h="1" sd="0" x="353"/>
        <item h="1" sd="0" x="354"/>
        <item h="1" sd="0" x="355"/>
        <item h="1" sd="0" x="356"/>
        <item h="1" sd="0" x="357"/>
        <item h="1" sd="0" x="358"/>
        <item h="1" sd="0" x="359"/>
        <item h="1" sd="0" x="360"/>
        <item h="1" sd="0" x="361"/>
        <item h="1" sd="0" x="362"/>
        <item h="1" sd="0" x="363"/>
        <item h="1" sd="0" x="364"/>
        <item h="1" sd="0" x="365"/>
        <item h="1" sd="0" x="366"/>
        <item h="1" sd="0" x="367"/>
      </items>
    </pivotField>
    <pivotField axis="axisRow" showAll="0" defaultSubtotal="0">
      <items count="14">
        <item h="1" sd="0" x="0"/>
        <item h="1" sd="0" x="1"/>
        <item x="2"/>
        <item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</items>
    </pivotField>
  </pivotFields>
  <rowFields count="3">
    <field x="13"/>
    <field x="12"/>
    <field x="0"/>
  </rowFields>
  <rowItems count="33">
    <i>
      <x v="2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>
      <x v="3"/>
    </i>
    <i r="1">
      <x v="61"/>
    </i>
    <i r="1">
      <x v="6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omme de CTR (taux de click par vue)" fld="7" baseField="0" baseItem="0"/>
  </dataFields>
  <formats count="1">
    <format dxfId="1">
      <pivotArea outline="0" collapsedLevelsAreSubtotals="1" fieldPosition="0"/>
    </format>
  </formats>
  <chartFormats count="3">
    <chartFormat chart="17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7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7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315719-134F-4EA7-B0D5-9EED3BA69D18}" name="Tableau croisé dynamique8" cacheId="7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11:E15" firstHeaderRow="1" firstDataRow="2" firstDataCol="1"/>
  <pivotFields count="14"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h="1" x="30"/>
        <item t="default"/>
      </items>
    </pivotField>
    <pivotField axis="axisCol" showAll="0">
      <items count="5">
        <item x="0"/>
        <item x="1"/>
        <item x="2"/>
        <item h="1"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69">
        <item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3"/>
    <field x="12"/>
    <field x="0"/>
  </rowFields>
  <rowItems count="3"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omme de Impressions" fld="2" baseField="0" baseItem="0" numFmtId="43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6194E5-4337-41BF-B5E2-DE6DC77C619D}" name="Tableau croisé dynamique7" cacheId="5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">
  <location ref="A3:E7" firstHeaderRow="1" firstDataRow="2" firstDataCol="1"/>
  <pivotFields count="14"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h="1" x="30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69">
        <item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3"/>
    <field x="12"/>
    <field x="0"/>
  </rowFields>
  <rowItems count="3"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omme de Dépenses (FCFA)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E5439A-AAA8-4CA0-AD2A-0429158BDFAC}" name="Tableau croisé dynamique22" cacheId="7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J48:J80" firstHeaderRow="1" firstDataRow="1" firstDataCol="1"/>
  <pivotFields count="14">
    <pivotField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12"/>
  </rowFields>
  <rowItems count="32">
    <i>
      <x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1"/>
    </i>
    <i>
      <x v="6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90266F-1098-4C80-A55F-B2E8FD14E506}" name="Tableau1" displayName="Tableau1" ref="A1:M91" totalsRowShown="0" headerRowDxfId="34" dataDxfId="35">
  <autoFilter ref="A1:M91" xr:uid="{AA90266F-1098-4C80-A55F-B2E8FD14E506}"/>
  <sortState xmlns:xlrd2="http://schemas.microsoft.com/office/spreadsheetml/2017/richdata2" ref="A2:L91">
    <sortCondition ref="A2:A91"/>
  </sortState>
  <tableColumns count="13">
    <tableColumn id="1" xr3:uid="{1E6D23AB-EC89-46E3-BD62-2AECF814F7F4}" name="Date" dataDxfId="27" totalsRowDxfId="25"/>
    <tableColumn id="2" xr3:uid="{4A362202-B7FB-4FD2-B46F-713D8CD387E3}" name="Canal" dataDxfId="28" totalsRowDxfId="24"/>
    <tableColumn id="3" xr3:uid="{30611ED1-4F21-4B94-99FA-FE6D827D3899}" name="Impressions" dataDxfId="40" totalsRowDxfId="23"/>
    <tableColumn id="4" xr3:uid="{25FB184C-F88F-4D8E-BFA7-E45E8AFCD07B}" name="Clicks" dataDxfId="39" totalsRowDxfId="22"/>
    <tableColumn id="5" xr3:uid="{46C23A74-4EF3-4C0C-BC59-59DF06894134}" name="Dépenses (FCFA)" dataDxfId="38" totalsRowDxfId="21"/>
    <tableColumn id="6" xr3:uid="{FE2CA677-B6AE-454B-AAC0-54DB646C46D1}" name="Conversions" dataDxfId="37" totalsRowDxfId="20"/>
    <tableColumn id="7" xr3:uid="{739E1CDD-4CAE-4775-BDC1-E8E9CFBF7376}" name="Revenus (FCFA)" dataDxfId="36" totalsRowDxfId="19"/>
    <tableColumn id="8" xr3:uid="{A84E6E74-4A41-4607-885C-B8C3E0CC4DBD}" name="CTR (taux de click par vue)" dataDxfId="33" totalsRowDxfId="18">
      <calculatedColumnFormula>Tableau1[[#This Row],[Clicks]]/Tableau1[[#This Row],[Impressions]]</calculatedColumnFormula>
    </tableColumn>
    <tableColumn id="9" xr3:uid="{8C9869BF-C9D9-48B8-80E8-1D8651FA948F}" name="CPA (cout par click)" dataDxfId="32" totalsRowDxfId="17">
      <calculatedColumnFormula>Tableau1[[#This Row],[Dépenses (FCFA)]]/Tableau1[[#This Row],[Clicks]]</calculatedColumnFormula>
    </tableColumn>
    <tableColumn id="10" xr3:uid="{E5D29C2C-E43C-454A-8B6C-B81B9493DE80}" name="Taux de conversion" dataDxfId="31" totalsRowDxfId="16">
      <calculatedColumnFormula>Tableau1[[#This Row],[Conversions]]/Tableau1[[#This Row],[Clicks]]</calculatedColumnFormula>
    </tableColumn>
    <tableColumn id="11" xr3:uid="{F6F130F6-873C-4988-BD88-816BE0DE5999}" name="CPA (cout par conversion)" dataDxfId="30" totalsRowDxfId="15">
      <calculatedColumnFormula>Tableau1[[#This Row],[Dépenses (FCFA)]]/Tableau1[[#This Row],[Conversions]]</calculatedColumnFormula>
    </tableColumn>
    <tableColumn id="12" xr3:uid="{F16E7D7F-49B7-4D0D-A829-B7450B6E4F80}" name="ROAS (rentabilité des depenses)" dataDxfId="29" totalsRowDxfId="14">
      <calculatedColumnFormula>Tableau1[[#This Row],[Revenus (FCFA)]]/Tableau1[[#This Row],[Dépenses (FCFA)]]</calculatedColumnFormula>
    </tableColumn>
    <tableColumn id="17" xr3:uid="{FF835D0B-9FB1-42D0-BF6E-E9C5EBEDFB2C}" name="efficacite" dataDxfId="26" totalsRowDxfId="13">
      <calculatedColumnFormula>IF(Tableau1[[#This Row],[ROAS (rentabilité des depenses)]]&gt;'Analyse '!$E$14,"PERFORMANT","SOUS PERFORMANT")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E3068-70E4-42D0-BE9B-D3D1E417E241}">
  <sheetPr>
    <tabColor theme="0"/>
  </sheetPr>
  <dimension ref="A1:M92"/>
  <sheetViews>
    <sheetView topLeftCell="B1" workbookViewId="0">
      <selection activeCell="J89" sqref="J89"/>
    </sheetView>
  </sheetViews>
  <sheetFormatPr baseColWidth="10" defaultRowHeight="14.4" x14ac:dyDescent="0.3"/>
  <cols>
    <col min="1" max="1" width="27" style="2" customWidth="1"/>
    <col min="2" max="2" width="15.6640625" customWidth="1"/>
    <col min="3" max="3" width="12.88671875" customWidth="1"/>
    <col min="5" max="5" width="16.77734375" customWidth="1"/>
    <col min="6" max="6" width="13.109375" customWidth="1"/>
    <col min="7" max="7" width="18.44140625" bestFit="1" customWidth="1"/>
    <col min="8" max="8" width="23.88671875" customWidth="1"/>
    <col min="9" max="9" width="13.6640625" bestFit="1" customWidth="1"/>
    <col min="10" max="10" width="14.6640625" bestFit="1" customWidth="1"/>
    <col min="12" max="12" width="18" bestFit="1" customWidth="1"/>
    <col min="13" max="13" width="19.109375" bestFit="1" customWidth="1"/>
  </cols>
  <sheetData>
    <row r="1" spans="1:13" ht="57.6" x14ac:dyDescent="0.3">
      <c r="A1" s="1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33</v>
      </c>
      <c r="J1" s="1" t="s">
        <v>10</v>
      </c>
      <c r="K1" s="1" t="s">
        <v>12</v>
      </c>
      <c r="L1" s="1" t="s">
        <v>13</v>
      </c>
      <c r="M1" s="1" t="s">
        <v>86</v>
      </c>
    </row>
    <row r="2" spans="1:13" x14ac:dyDescent="0.3">
      <c r="A2" s="3">
        <v>46054</v>
      </c>
      <c r="B2" s="4" t="s">
        <v>7</v>
      </c>
      <c r="C2" s="4">
        <v>12000</v>
      </c>
      <c r="D2" s="4">
        <v>360</v>
      </c>
      <c r="E2" s="4">
        <v>25000</v>
      </c>
      <c r="F2" s="4">
        <v>18</v>
      </c>
      <c r="G2" s="4">
        <v>180000</v>
      </c>
      <c r="H2" s="4">
        <f>Tableau1[[#This Row],[Clicks]]/Tableau1[[#This Row],[Impressions]]</f>
        <v>0.03</v>
      </c>
      <c r="I2" s="4">
        <f>Tableau1[[#This Row],[Dépenses (FCFA)]]/Tableau1[[#This Row],[Clicks]]</f>
        <v>69.444444444444443</v>
      </c>
      <c r="J2" s="4">
        <f>Tableau1[[#This Row],[Conversions]]/Tableau1[[#This Row],[Clicks]]</f>
        <v>0.05</v>
      </c>
      <c r="K2" s="5">
        <f>Tableau1[[#This Row],[Dépenses (FCFA)]]/Tableau1[[#This Row],[Conversions]]</f>
        <v>1388.8888888888889</v>
      </c>
      <c r="L2" s="5">
        <f>Tableau1[[#This Row],[Revenus (FCFA)]]/Tableau1[[#This Row],[Dépenses (FCFA)]]</f>
        <v>7.2</v>
      </c>
      <c r="M2" s="5" t="str">
        <f>IF(Tableau1[[#This Row],[ROAS (rentabilité des depenses)]]&gt;'Analyse '!$E$14,"PERFORMANT","SOUS PERFORMANT")</f>
        <v>SOUS PERFORMANT</v>
      </c>
    </row>
    <row r="3" spans="1:13" x14ac:dyDescent="0.3">
      <c r="A3" s="3">
        <v>46054</v>
      </c>
      <c r="B3" s="4" t="s">
        <v>8</v>
      </c>
      <c r="C3" s="4">
        <v>8000</v>
      </c>
      <c r="D3" s="4">
        <v>400</v>
      </c>
      <c r="E3" s="4">
        <v>30000</v>
      </c>
      <c r="F3" s="4">
        <v>25</v>
      </c>
      <c r="G3" s="4">
        <v>250000</v>
      </c>
      <c r="H3" s="4">
        <f>Tableau1[[#This Row],[Clicks]]/Tableau1[[#This Row],[Impressions]]</f>
        <v>0.05</v>
      </c>
      <c r="I3" s="4">
        <f>Tableau1[[#This Row],[Dépenses (FCFA)]]/Tableau1[[#This Row],[Clicks]]</f>
        <v>75</v>
      </c>
      <c r="J3" s="4">
        <f>Tableau1[[#This Row],[Conversions]]/Tableau1[[#This Row],[Clicks]]</f>
        <v>6.25E-2</v>
      </c>
      <c r="K3" s="5">
        <f>Tableau1[[#This Row],[Dépenses (FCFA)]]/Tableau1[[#This Row],[Conversions]]</f>
        <v>1200</v>
      </c>
      <c r="L3" s="5">
        <f>Tableau1[[#This Row],[Revenus (FCFA)]]/Tableau1[[#This Row],[Dépenses (FCFA)]]</f>
        <v>8.3333333333333339</v>
      </c>
      <c r="M3" s="5" t="str">
        <f>IF(Tableau1[[#This Row],[ROAS (rentabilité des depenses)]]&gt;'Analyse '!$E$14,"PERFORMANT","SOUS PERFORMANT")</f>
        <v>PERFORMANT</v>
      </c>
    </row>
    <row r="4" spans="1:13" x14ac:dyDescent="0.3">
      <c r="A4" s="3">
        <v>46054</v>
      </c>
      <c r="B4" s="4" t="s">
        <v>9</v>
      </c>
      <c r="C4" s="4">
        <v>10000</v>
      </c>
      <c r="D4" s="4">
        <v>250</v>
      </c>
      <c r="E4" s="4">
        <v>20000</v>
      </c>
      <c r="F4" s="4">
        <v>15</v>
      </c>
      <c r="G4" s="4">
        <v>150000</v>
      </c>
      <c r="H4" s="4">
        <f>Tableau1[[#This Row],[Clicks]]/Tableau1[[#This Row],[Impressions]]</f>
        <v>2.5000000000000001E-2</v>
      </c>
      <c r="I4" s="4">
        <f>Tableau1[[#This Row],[Dépenses (FCFA)]]/Tableau1[[#This Row],[Clicks]]</f>
        <v>80</v>
      </c>
      <c r="J4" s="4">
        <f>Tableau1[[#This Row],[Conversions]]/Tableau1[[#This Row],[Clicks]]</f>
        <v>0.06</v>
      </c>
      <c r="K4" s="5">
        <f>Tableau1[[#This Row],[Dépenses (FCFA)]]/Tableau1[[#This Row],[Conversions]]</f>
        <v>1333.3333333333333</v>
      </c>
      <c r="L4" s="5">
        <f>Tableau1[[#This Row],[Revenus (FCFA)]]/Tableau1[[#This Row],[Dépenses (FCFA)]]</f>
        <v>7.5</v>
      </c>
      <c r="M4" s="5" t="str">
        <f>IF(Tableau1[[#This Row],[ROAS (rentabilité des depenses)]]&gt;'Analyse '!$E$14,"PERFORMANT","SOUS PERFORMANT")</f>
        <v>SOUS PERFORMANT</v>
      </c>
    </row>
    <row r="5" spans="1:13" x14ac:dyDescent="0.3">
      <c r="A5" s="3">
        <v>46055</v>
      </c>
      <c r="B5" s="4" t="s">
        <v>7</v>
      </c>
      <c r="C5" s="4">
        <v>12200</v>
      </c>
      <c r="D5" s="4">
        <v>370</v>
      </c>
      <c r="E5" s="4">
        <v>25200</v>
      </c>
      <c r="F5" s="4">
        <v>19</v>
      </c>
      <c r="G5" s="4">
        <v>185000</v>
      </c>
      <c r="H5" s="4">
        <f>Tableau1[[#This Row],[Clicks]]/Tableau1[[#This Row],[Impressions]]</f>
        <v>3.0327868852459017E-2</v>
      </c>
      <c r="I5" s="4">
        <f>Tableau1[[#This Row],[Dépenses (FCFA)]]/Tableau1[[#This Row],[Clicks]]</f>
        <v>68.108108108108112</v>
      </c>
      <c r="J5" s="4">
        <f>Tableau1[[#This Row],[Conversions]]/Tableau1[[#This Row],[Clicks]]</f>
        <v>5.1351351351351354E-2</v>
      </c>
      <c r="K5" s="5">
        <f>Tableau1[[#This Row],[Dépenses (FCFA)]]/Tableau1[[#This Row],[Conversions]]</f>
        <v>1326.3157894736842</v>
      </c>
      <c r="L5" s="5">
        <f>Tableau1[[#This Row],[Revenus (FCFA)]]/Tableau1[[#This Row],[Dépenses (FCFA)]]</f>
        <v>7.3412698412698409</v>
      </c>
      <c r="M5" s="5" t="str">
        <f>IF(Tableau1[[#This Row],[ROAS (rentabilité des depenses)]]&gt;'Analyse '!$E$14,"PERFORMANT","SOUS PERFORMANT")</f>
        <v>SOUS PERFORMANT</v>
      </c>
    </row>
    <row r="6" spans="1:13" x14ac:dyDescent="0.3">
      <c r="A6" s="3">
        <v>46055</v>
      </c>
      <c r="B6" s="4" t="s">
        <v>8</v>
      </c>
      <c r="C6" s="4">
        <v>8200</v>
      </c>
      <c r="D6" s="4">
        <v>410</v>
      </c>
      <c r="E6" s="4">
        <v>30500</v>
      </c>
      <c r="F6" s="4">
        <v>26</v>
      </c>
      <c r="G6" s="4">
        <v>255000</v>
      </c>
      <c r="H6" s="4">
        <f>Tableau1[[#This Row],[Clicks]]/Tableau1[[#This Row],[Impressions]]</f>
        <v>0.05</v>
      </c>
      <c r="I6" s="4">
        <f>Tableau1[[#This Row],[Dépenses (FCFA)]]/Tableau1[[#This Row],[Clicks]]</f>
        <v>74.390243902439025</v>
      </c>
      <c r="J6" s="4">
        <f>Tableau1[[#This Row],[Conversions]]/Tableau1[[#This Row],[Clicks]]</f>
        <v>6.3414634146341464E-2</v>
      </c>
      <c r="K6" s="5">
        <f>Tableau1[[#This Row],[Dépenses (FCFA)]]/Tableau1[[#This Row],[Conversions]]</f>
        <v>1173.0769230769231</v>
      </c>
      <c r="L6" s="5">
        <f>Tableau1[[#This Row],[Revenus (FCFA)]]/Tableau1[[#This Row],[Dépenses (FCFA)]]</f>
        <v>8.3606557377049189</v>
      </c>
      <c r="M6" s="5" t="str">
        <f>IF(Tableau1[[#This Row],[ROAS (rentabilité des depenses)]]&gt;'Analyse '!$E$14,"PERFORMANT","SOUS PERFORMANT")</f>
        <v>PERFORMANT</v>
      </c>
    </row>
    <row r="7" spans="1:13" x14ac:dyDescent="0.3">
      <c r="A7" s="3">
        <v>46055</v>
      </c>
      <c r="B7" s="4" t="s">
        <v>9</v>
      </c>
      <c r="C7" s="4">
        <v>10200</v>
      </c>
      <c r="D7" s="4">
        <v>260</v>
      </c>
      <c r="E7" s="4">
        <v>20500</v>
      </c>
      <c r="F7" s="4">
        <v>16</v>
      </c>
      <c r="G7" s="4">
        <v>155000</v>
      </c>
      <c r="H7" s="4">
        <f>Tableau1[[#This Row],[Clicks]]/Tableau1[[#This Row],[Impressions]]</f>
        <v>2.5490196078431372E-2</v>
      </c>
      <c r="I7" s="4">
        <f>Tableau1[[#This Row],[Dépenses (FCFA)]]/Tableau1[[#This Row],[Clicks]]</f>
        <v>78.84615384615384</v>
      </c>
      <c r="J7" s="4">
        <f>Tableau1[[#This Row],[Conversions]]/Tableau1[[#This Row],[Clicks]]</f>
        <v>6.1538461538461542E-2</v>
      </c>
      <c r="K7" s="5">
        <f>Tableau1[[#This Row],[Dépenses (FCFA)]]/Tableau1[[#This Row],[Conversions]]</f>
        <v>1281.25</v>
      </c>
      <c r="L7" s="5">
        <f>Tableau1[[#This Row],[Revenus (FCFA)]]/Tableau1[[#This Row],[Dépenses (FCFA)]]</f>
        <v>7.5609756097560972</v>
      </c>
      <c r="M7" s="5" t="str">
        <f>IF(Tableau1[[#This Row],[ROAS (rentabilité des depenses)]]&gt;'Analyse '!$E$14,"PERFORMANT","SOUS PERFORMANT")</f>
        <v>SOUS PERFORMANT</v>
      </c>
    </row>
    <row r="8" spans="1:13" x14ac:dyDescent="0.3">
      <c r="A8" s="3">
        <v>46056</v>
      </c>
      <c r="B8" s="4" t="s">
        <v>7</v>
      </c>
      <c r="C8" s="4">
        <v>11800</v>
      </c>
      <c r="D8" s="4">
        <v>355</v>
      </c>
      <c r="E8" s="4">
        <v>24800</v>
      </c>
      <c r="F8" s="4">
        <v>17</v>
      </c>
      <c r="G8" s="4">
        <v>175000</v>
      </c>
      <c r="H8" s="4">
        <f>Tableau1[[#This Row],[Clicks]]/Tableau1[[#This Row],[Impressions]]</f>
        <v>3.0084745762711865E-2</v>
      </c>
      <c r="I8" s="4">
        <f>Tableau1[[#This Row],[Dépenses (FCFA)]]/Tableau1[[#This Row],[Clicks]]</f>
        <v>69.859154929577471</v>
      </c>
      <c r="J8" s="4">
        <f>Tableau1[[#This Row],[Conversions]]/Tableau1[[#This Row],[Clicks]]</f>
        <v>4.788732394366197E-2</v>
      </c>
      <c r="K8" s="5">
        <f>Tableau1[[#This Row],[Dépenses (FCFA)]]/Tableau1[[#This Row],[Conversions]]</f>
        <v>1458.8235294117646</v>
      </c>
      <c r="L8" s="5">
        <f>Tableau1[[#This Row],[Revenus (FCFA)]]/Tableau1[[#This Row],[Dépenses (FCFA)]]</f>
        <v>7.056451612903226</v>
      </c>
      <c r="M8" s="5" t="str">
        <f>IF(Tableau1[[#This Row],[ROAS (rentabilité des depenses)]]&gt;'Analyse '!$E$14,"PERFORMANT","SOUS PERFORMANT")</f>
        <v>SOUS PERFORMANT</v>
      </c>
    </row>
    <row r="9" spans="1:13" x14ac:dyDescent="0.3">
      <c r="A9" s="3">
        <v>46056</v>
      </c>
      <c r="B9" s="4" t="s">
        <v>8</v>
      </c>
      <c r="C9" s="4">
        <v>8100</v>
      </c>
      <c r="D9" s="4">
        <v>395</v>
      </c>
      <c r="E9" s="4">
        <v>30200</v>
      </c>
      <c r="F9" s="4">
        <v>24</v>
      </c>
      <c r="G9" s="4">
        <v>248000</v>
      </c>
      <c r="H9" s="4">
        <f>Tableau1[[#This Row],[Clicks]]/Tableau1[[#This Row],[Impressions]]</f>
        <v>4.8765432098765431E-2</v>
      </c>
      <c r="I9" s="4">
        <f>Tableau1[[#This Row],[Dépenses (FCFA)]]/Tableau1[[#This Row],[Clicks]]</f>
        <v>76.455696202531641</v>
      </c>
      <c r="J9" s="4">
        <f>Tableau1[[#This Row],[Conversions]]/Tableau1[[#This Row],[Clicks]]</f>
        <v>6.0759493670886074E-2</v>
      </c>
      <c r="K9" s="5">
        <f>Tableau1[[#This Row],[Dépenses (FCFA)]]/Tableau1[[#This Row],[Conversions]]</f>
        <v>1258.3333333333333</v>
      </c>
      <c r="L9" s="5">
        <f>Tableau1[[#This Row],[Revenus (FCFA)]]/Tableau1[[#This Row],[Dépenses (FCFA)]]</f>
        <v>8.2119205298013238</v>
      </c>
      <c r="M9" s="5" t="str">
        <f>IF(Tableau1[[#This Row],[ROAS (rentabilité des depenses)]]&gt;'Analyse '!$E$14,"PERFORMANT","SOUS PERFORMANT")</f>
        <v>PERFORMANT</v>
      </c>
    </row>
    <row r="10" spans="1:13" x14ac:dyDescent="0.3">
      <c r="A10" s="3">
        <v>46056</v>
      </c>
      <c r="B10" s="4" t="s">
        <v>9</v>
      </c>
      <c r="C10" s="4">
        <v>10100</v>
      </c>
      <c r="D10" s="4">
        <v>255</v>
      </c>
      <c r="E10" s="4">
        <v>20300</v>
      </c>
      <c r="F10" s="4">
        <v>15</v>
      </c>
      <c r="G10" s="4">
        <v>152000</v>
      </c>
      <c r="H10" s="4">
        <f>Tableau1[[#This Row],[Clicks]]/Tableau1[[#This Row],[Impressions]]</f>
        <v>2.5247524752475249E-2</v>
      </c>
      <c r="I10" s="4">
        <f>Tableau1[[#This Row],[Dépenses (FCFA)]]/Tableau1[[#This Row],[Clicks]]</f>
        <v>79.607843137254903</v>
      </c>
      <c r="J10" s="4">
        <f>Tableau1[[#This Row],[Conversions]]/Tableau1[[#This Row],[Clicks]]</f>
        <v>5.8823529411764705E-2</v>
      </c>
      <c r="K10" s="5">
        <f>Tableau1[[#This Row],[Dépenses (FCFA)]]/Tableau1[[#This Row],[Conversions]]</f>
        <v>1353.3333333333333</v>
      </c>
      <c r="L10" s="5">
        <f>Tableau1[[#This Row],[Revenus (FCFA)]]/Tableau1[[#This Row],[Dépenses (FCFA)]]</f>
        <v>7.4876847290640391</v>
      </c>
      <c r="M10" s="5" t="str">
        <f>IF(Tableau1[[#This Row],[ROAS (rentabilité des depenses)]]&gt;'Analyse '!$E$14,"PERFORMANT","SOUS PERFORMANT")</f>
        <v>SOUS PERFORMANT</v>
      </c>
    </row>
    <row r="11" spans="1:13" x14ac:dyDescent="0.3">
      <c r="A11" s="3">
        <v>46057</v>
      </c>
      <c r="B11" s="4" t="s">
        <v>7</v>
      </c>
      <c r="C11" s="4">
        <v>12100</v>
      </c>
      <c r="D11" s="4">
        <v>365</v>
      </c>
      <c r="E11" s="4">
        <v>25100</v>
      </c>
      <c r="F11" s="4">
        <v>18</v>
      </c>
      <c r="G11" s="4">
        <v>182000</v>
      </c>
      <c r="H11" s="4">
        <f>Tableau1[[#This Row],[Clicks]]/Tableau1[[#This Row],[Impressions]]</f>
        <v>3.0165289256198349E-2</v>
      </c>
      <c r="I11" s="4">
        <f>Tableau1[[#This Row],[Dépenses (FCFA)]]/Tableau1[[#This Row],[Clicks]]</f>
        <v>68.767123287671239</v>
      </c>
      <c r="J11" s="4">
        <f>Tableau1[[#This Row],[Conversions]]/Tableau1[[#This Row],[Clicks]]</f>
        <v>4.9315068493150684E-2</v>
      </c>
      <c r="K11" s="5">
        <f>Tableau1[[#This Row],[Dépenses (FCFA)]]/Tableau1[[#This Row],[Conversions]]</f>
        <v>1394.4444444444443</v>
      </c>
      <c r="L11" s="5">
        <f>Tableau1[[#This Row],[Revenus (FCFA)]]/Tableau1[[#This Row],[Dépenses (FCFA)]]</f>
        <v>7.2509960159362548</v>
      </c>
      <c r="M11" s="5" t="str">
        <f>IF(Tableau1[[#This Row],[ROAS (rentabilité des depenses)]]&gt;'Analyse '!$E$14,"PERFORMANT","SOUS PERFORMANT")</f>
        <v>SOUS PERFORMANT</v>
      </c>
    </row>
    <row r="12" spans="1:13" x14ac:dyDescent="0.3">
      <c r="A12" s="3">
        <v>46057</v>
      </c>
      <c r="B12" s="4" t="s">
        <v>8</v>
      </c>
      <c r="C12" s="4">
        <v>8300</v>
      </c>
      <c r="D12" s="4">
        <v>415</v>
      </c>
      <c r="E12" s="4">
        <v>30800</v>
      </c>
      <c r="F12" s="4">
        <v>27</v>
      </c>
      <c r="G12" s="4">
        <v>260000</v>
      </c>
      <c r="H12" s="4">
        <f>Tableau1[[#This Row],[Clicks]]/Tableau1[[#This Row],[Impressions]]</f>
        <v>0.05</v>
      </c>
      <c r="I12" s="4">
        <f>Tableau1[[#This Row],[Dépenses (FCFA)]]/Tableau1[[#This Row],[Clicks]]</f>
        <v>74.216867469879517</v>
      </c>
      <c r="J12" s="4">
        <f>Tableau1[[#This Row],[Conversions]]/Tableau1[[#This Row],[Clicks]]</f>
        <v>6.5060240963855417E-2</v>
      </c>
      <c r="K12" s="5">
        <f>Tableau1[[#This Row],[Dépenses (FCFA)]]/Tableau1[[#This Row],[Conversions]]</f>
        <v>1140.7407407407406</v>
      </c>
      <c r="L12" s="5">
        <f>Tableau1[[#This Row],[Revenus (FCFA)]]/Tableau1[[#This Row],[Dépenses (FCFA)]]</f>
        <v>8.4415584415584419</v>
      </c>
      <c r="M12" s="5" t="str">
        <f>IF(Tableau1[[#This Row],[ROAS (rentabilité des depenses)]]&gt;'Analyse '!$E$14,"PERFORMANT","SOUS PERFORMANT")</f>
        <v>PERFORMANT</v>
      </c>
    </row>
    <row r="13" spans="1:13" x14ac:dyDescent="0.3">
      <c r="A13" s="3">
        <v>46057</v>
      </c>
      <c r="B13" s="4" t="s">
        <v>9</v>
      </c>
      <c r="C13" s="4">
        <v>10300</v>
      </c>
      <c r="D13" s="4">
        <v>265</v>
      </c>
      <c r="E13" s="4">
        <v>20700</v>
      </c>
      <c r="F13" s="4">
        <v>16</v>
      </c>
      <c r="G13" s="4">
        <v>157000</v>
      </c>
      <c r="H13" s="4">
        <f>Tableau1[[#This Row],[Clicks]]/Tableau1[[#This Row],[Impressions]]</f>
        <v>2.5728155339805825E-2</v>
      </c>
      <c r="I13" s="4">
        <f>Tableau1[[#This Row],[Dépenses (FCFA)]]/Tableau1[[#This Row],[Clicks]]</f>
        <v>78.113207547169807</v>
      </c>
      <c r="J13" s="4">
        <f>Tableau1[[#This Row],[Conversions]]/Tableau1[[#This Row],[Clicks]]</f>
        <v>6.0377358490566038E-2</v>
      </c>
      <c r="K13" s="5">
        <f>Tableau1[[#This Row],[Dépenses (FCFA)]]/Tableau1[[#This Row],[Conversions]]</f>
        <v>1293.75</v>
      </c>
      <c r="L13" s="5">
        <f>Tableau1[[#This Row],[Revenus (FCFA)]]/Tableau1[[#This Row],[Dépenses (FCFA)]]</f>
        <v>7.5845410628019323</v>
      </c>
      <c r="M13" s="5" t="str">
        <f>IF(Tableau1[[#This Row],[ROAS (rentabilité des depenses)]]&gt;'Analyse '!$E$14,"PERFORMANT","SOUS PERFORMANT")</f>
        <v>SOUS PERFORMANT</v>
      </c>
    </row>
    <row r="14" spans="1:13" x14ac:dyDescent="0.3">
      <c r="A14" s="3">
        <v>46058</v>
      </c>
      <c r="B14" s="4" t="s">
        <v>7</v>
      </c>
      <c r="C14" s="4">
        <v>11950</v>
      </c>
      <c r="D14" s="4">
        <v>362</v>
      </c>
      <c r="E14" s="4">
        <v>24950</v>
      </c>
      <c r="F14" s="4">
        <v>18</v>
      </c>
      <c r="G14" s="4">
        <v>181000</v>
      </c>
      <c r="H14" s="4">
        <f>Tableau1[[#This Row],[Clicks]]/Tableau1[[#This Row],[Impressions]]</f>
        <v>3.0292887029288704E-2</v>
      </c>
      <c r="I14" s="4">
        <f>Tableau1[[#This Row],[Dépenses (FCFA)]]/Tableau1[[#This Row],[Clicks]]</f>
        <v>68.922651933701658</v>
      </c>
      <c r="J14" s="4">
        <f>Tableau1[[#This Row],[Conversions]]/Tableau1[[#This Row],[Clicks]]</f>
        <v>4.9723756906077346E-2</v>
      </c>
      <c r="K14" s="5">
        <f>Tableau1[[#This Row],[Dépenses (FCFA)]]/Tableau1[[#This Row],[Conversions]]</f>
        <v>1386.1111111111111</v>
      </c>
      <c r="L14" s="5">
        <f>Tableau1[[#This Row],[Revenus (FCFA)]]/Tableau1[[#This Row],[Dépenses (FCFA)]]</f>
        <v>7.2545090180360718</v>
      </c>
      <c r="M14" s="5" t="str">
        <f>IF(Tableau1[[#This Row],[ROAS (rentabilité des depenses)]]&gt;'Analyse '!$E$14,"PERFORMANT","SOUS PERFORMANT")</f>
        <v>SOUS PERFORMANT</v>
      </c>
    </row>
    <row r="15" spans="1:13" x14ac:dyDescent="0.3">
      <c r="A15" s="3">
        <v>46058</v>
      </c>
      <c r="B15" s="4" t="s">
        <v>8</v>
      </c>
      <c r="C15" s="4">
        <v>8250</v>
      </c>
      <c r="D15" s="4">
        <v>405</v>
      </c>
      <c r="E15" s="4">
        <v>30600</v>
      </c>
      <c r="F15" s="4">
        <v>26</v>
      </c>
      <c r="G15" s="4">
        <v>258000</v>
      </c>
      <c r="H15" s="4">
        <f>Tableau1[[#This Row],[Clicks]]/Tableau1[[#This Row],[Impressions]]</f>
        <v>4.9090909090909088E-2</v>
      </c>
      <c r="I15" s="4">
        <f>Tableau1[[#This Row],[Dépenses (FCFA)]]/Tableau1[[#This Row],[Clicks]]</f>
        <v>75.555555555555557</v>
      </c>
      <c r="J15" s="4">
        <f>Tableau1[[#This Row],[Conversions]]/Tableau1[[#This Row],[Clicks]]</f>
        <v>6.4197530864197536E-2</v>
      </c>
      <c r="K15" s="5">
        <f>Tableau1[[#This Row],[Dépenses (FCFA)]]/Tableau1[[#This Row],[Conversions]]</f>
        <v>1176.9230769230769</v>
      </c>
      <c r="L15" s="5">
        <f>Tableau1[[#This Row],[Revenus (FCFA)]]/Tableau1[[#This Row],[Dépenses (FCFA)]]</f>
        <v>8.4313725490196081</v>
      </c>
      <c r="M15" s="5" t="str">
        <f>IF(Tableau1[[#This Row],[ROAS (rentabilité des depenses)]]&gt;'Analyse '!$E$14,"PERFORMANT","SOUS PERFORMANT")</f>
        <v>PERFORMANT</v>
      </c>
    </row>
    <row r="16" spans="1:13" x14ac:dyDescent="0.3">
      <c r="A16" s="3">
        <v>46058</v>
      </c>
      <c r="B16" s="4" t="s">
        <v>9</v>
      </c>
      <c r="C16" s="4">
        <v>10250</v>
      </c>
      <c r="D16" s="4">
        <v>262</v>
      </c>
      <c r="E16" s="4">
        <v>20600</v>
      </c>
      <c r="F16" s="4">
        <v>15</v>
      </c>
      <c r="G16" s="4">
        <v>154000</v>
      </c>
      <c r="H16" s="4">
        <f>Tableau1[[#This Row],[Clicks]]/Tableau1[[#This Row],[Impressions]]</f>
        <v>2.5560975609756096E-2</v>
      </c>
      <c r="I16" s="4">
        <f>Tableau1[[#This Row],[Dépenses (FCFA)]]/Tableau1[[#This Row],[Clicks]]</f>
        <v>78.625954198473281</v>
      </c>
      <c r="J16" s="4">
        <f>Tableau1[[#This Row],[Conversions]]/Tableau1[[#This Row],[Clicks]]</f>
        <v>5.7251908396946563E-2</v>
      </c>
      <c r="K16" s="5">
        <f>Tableau1[[#This Row],[Dépenses (FCFA)]]/Tableau1[[#This Row],[Conversions]]</f>
        <v>1373.3333333333333</v>
      </c>
      <c r="L16" s="5">
        <f>Tableau1[[#This Row],[Revenus (FCFA)]]/Tableau1[[#This Row],[Dépenses (FCFA)]]</f>
        <v>7.4757281553398061</v>
      </c>
      <c r="M16" s="5" t="str">
        <f>IF(Tableau1[[#This Row],[ROAS (rentabilité des depenses)]]&gt;'Analyse '!$E$14,"PERFORMANT","SOUS PERFORMANT")</f>
        <v>SOUS PERFORMANT</v>
      </c>
    </row>
    <row r="17" spans="1:13" x14ac:dyDescent="0.3">
      <c r="A17" s="3">
        <v>46059</v>
      </c>
      <c r="B17" s="4" t="s">
        <v>7</v>
      </c>
      <c r="C17" s="4">
        <v>12050</v>
      </c>
      <c r="D17" s="4">
        <v>368</v>
      </c>
      <c r="E17" s="4">
        <v>25150</v>
      </c>
      <c r="F17" s="4">
        <v>19</v>
      </c>
      <c r="G17" s="4">
        <v>183000</v>
      </c>
      <c r="H17" s="4">
        <f>Tableau1[[#This Row],[Clicks]]/Tableau1[[#This Row],[Impressions]]</f>
        <v>3.0539419087136928E-2</v>
      </c>
      <c r="I17" s="4">
        <f>Tableau1[[#This Row],[Dépenses (FCFA)]]/Tableau1[[#This Row],[Clicks]]</f>
        <v>68.342391304347828</v>
      </c>
      <c r="J17" s="4">
        <f>Tableau1[[#This Row],[Conversions]]/Tableau1[[#This Row],[Clicks]]</f>
        <v>5.1630434782608696E-2</v>
      </c>
      <c r="K17" s="5">
        <f>Tableau1[[#This Row],[Dépenses (FCFA)]]/Tableau1[[#This Row],[Conversions]]</f>
        <v>1323.6842105263158</v>
      </c>
      <c r="L17" s="5">
        <f>Tableau1[[#This Row],[Revenus (FCFA)]]/Tableau1[[#This Row],[Dépenses (FCFA)]]</f>
        <v>7.2763419483101393</v>
      </c>
      <c r="M17" s="5" t="str">
        <f>IF(Tableau1[[#This Row],[ROAS (rentabilité des depenses)]]&gt;'Analyse '!$E$14,"PERFORMANT","SOUS PERFORMANT")</f>
        <v>SOUS PERFORMANT</v>
      </c>
    </row>
    <row r="18" spans="1:13" x14ac:dyDescent="0.3">
      <c r="A18" s="3">
        <v>46059</v>
      </c>
      <c r="B18" s="4" t="s">
        <v>8</v>
      </c>
      <c r="C18" s="4">
        <v>8350</v>
      </c>
      <c r="D18" s="4">
        <v>418</v>
      </c>
      <c r="E18" s="4">
        <v>31000</v>
      </c>
      <c r="F18" s="4">
        <v>27</v>
      </c>
      <c r="G18" s="4">
        <v>262000</v>
      </c>
      <c r="H18" s="4">
        <f>Tableau1[[#This Row],[Clicks]]/Tableau1[[#This Row],[Impressions]]</f>
        <v>5.005988023952096E-2</v>
      </c>
      <c r="I18" s="4">
        <f>Tableau1[[#This Row],[Dépenses (FCFA)]]/Tableau1[[#This Row],[Clicks]]</f>
        <v>74.162679425837325</v>
      </c>
      <c r="J18" s="4">
        <f>Tableau1[[#This Row],[Conversions]]/Tableau1[[#This Row],[Clicks]]</f>
        <v>6.4593301435406703E-2</v>
      </c>
      <c r="K18" s="5">
        <f>Tableau1[[#This Row],[Dépenses (FCFA)]]/Tableau1[[#This Row],[Conversions]]</f>
        <v>1148.148148148148</v>
      </c>
      <c r="L18" s="5">
        <f>Tableau1[[#This Row],[Revenus (FCFA)]]/Tableau1[[#This Row],[Dépenses (FCFA)]]</f>
        <v>8.4516129032258061</v>
      </c>
      <c r="M18" s="5" t="str">
        <f>IF(Tableau1[[#This Row],[ROAS (rentabilité des depenses)]]&gt;'Analyse '!$E$14,"PERFORMANT","SOUS PERFORMANT")</f>
        <v>PERFORMANT</v>
      </c>
    </row>
    <row r="19" spans="1:13" x14ac:dyDescent="0.3">
      <c r="A19" s="3">
        <v>46059</v>
      </c>
      <c r="B19" s="4" t="s">
        <v>9</v>
      </c>
      <c r="C19" s="4">
        <v>10350</v>
      </c>
      <c r="D19" s="4">
        <v>268</v>
      </c>
      <c r="E19" s="4">
        <v>20850</v>
      </c>
      <c r="F19" s="4">
        <v>16</v>
      </c>
      <c r="G19" s="4">
        <v>158000</v>
      </c>
      <c r="H19" s="4">
        <f>Tableau1[[#This Row],[Clicks]]/Tableau1[[#This Row],[Impressions]]</f>
        <v>2.5893719806763284E-2</v>
      </c>
      <c r="I19" s="4">
        <f>Tableau1[[#This Row],[Dépenses (FCFA)]]/Tableau1[[#This Row],[Clicks]]</f>
        <v>77.798507462686572</v>
      </c>
      <c r="J19" s="4">
        <f>Tableau1[[#This Row],[Conversions]]/Tableau1[[#This Row],[Clicks]]</f>
        <v>5.9701492537313432E-2</v>
      </c>
      <c r="K19" s="5">
        <f>Tableau1[[#This Row],[Dépenses (FCFA)]]/Tableau1[[#This Row],[Conversions]]</f>
        <v>1303.125</v>
      </c>
      <c r="L19" s="5">
        <f>Tableau1[[#This Row],[Revenus (FCFA)]]/Tableau1[[#This Row],[Dépenses (FCFA)]]</f>
        <v>7.5779376498800959</v>
      </c>
      <c r="M19" s="5" t="str">
        <f>IF(Tableau1[[#This Row],[ROAS (rentabilité des depenses)]]&gt;'Analyse '!$E$14,"PERFORMANT","SOUS PERFORMANT")</f>
        <v>SOUS PERFORMANT</v>
      </c>
    </row>
    <row r="20" spans="1:13" x14ac:dyDescent="0.3">
      <c r="A20" s="3">
        <v>46060</v>
      </c>
      <c r="B20" s="4" t="s">
        <v>7</v>
      </c>
      <c r="C20" s="4">
        <v>12150</v>
      </c>
      <c r="D20" s="4">
        <v>370</v>
      </c>
      <c r="E20" s="4">
        <v>25300</v>
      </c>
      <c r="F20" s="4">
        <v>19</v>
      </c>
      <c r="G20" s="4">
        <v>184000</v>
      </c>
      <c r="H20" s="4">
        <f>Tableau1[[#This Row],[Clicks]]/Tableau1[[#This Row],[Impressions]]</f>
        <v>3.0452674897119343E-2</v>
      </c>
      <c r="I20" s="4">
        <f>Tableau1[[#This Row],[Dépenses (FCFA)]]/Tableau1[[#This Row],[Clicks]]</f>
        <v>68.378378378378372</v>
      </c>
      <c r="J20" s="4">
        <f>Tableau1[[#This Row],[Conversions]]/Tableau1[[#This Row],[Clicks]]</f>
        <v>5.1351351351351354E-2</v>
      </c>
      <c r="K20" s="5">
        <f>Tableau1[[#This Row],[Dépenses (FCFA)]]/Tableau1[[#This Row],[Conversions]]</f>
        <v>1331.578947368421</v>
      </c>
      <c r="L20" s="5">
        <f>Tableau1[[#This Row],[Revenus (FCFA)]]/Tableau1[[#This Row],[Dépenses (FCFA)]]</f>
        <v>7.2727272727272725</v>
      </c>
      <c r="M20" s="5" t="str">
        <f>IF(Tableau1[[#This Row],[ROAS (rentabilité des depenses)]]&gt;'Analyse '!$E$14,"PERFORMANT","SOUS PERFORMANT")</f>
        <v>SOUS PERFORMANT</v>
      </c>
    </row>
    <row r="21" spans="1:13" x14ac:dyDescent="0.3">
      <c r="A21" s="3">
        <v>46060</v>
      </c>
      <c r="B21" s="4" t="s">
        <v>8</v>
      </c>
      <c r="C21" s="4">
        <v>8400</v>
      </c>
      <c r="D21" s="4">
        <v>420</v>
      </c>
      <c r="E21" s="4">
        <v>31200</v>
      </c>
      <c r="F21" s="4">
        <v>28</v>
      </c>
      <c r="G21" s="4">
        <v>265000</v>
      </c>
      <c r="H21" s="4">
        <f>Tableau1[[#This Row],[Clicks]]/Tableau1[[#This Row],[Impressions]]</f>
        <v>0.05</v>
      </c>
      <c r="I21" s="4">
        <f>Tableau1[[#This Row],[Dépenses (FCFA)]]/Tableau1[[#This Row],[Clicks]]</f>
        <v>74.285714285714292</v>
      </c>
      <c r="J21" s="4">
        <f>Tableau1[[#This Row],[Conversions]]/Tableau1[[#This Row],[Clicks]]</f>
        <v>6.6666666666666666E-2</v>
      </c>
      <c r="K21" s="5">
        <f>Tableau1[[#This Row],[Dépenses (FCFA)]]/Tableau1[[#This Row],[Conversions]]</f>
        <v>1114.2857142857142</v>
      </c>
      <c r="L21" s="5">
        <f>Tableau1[[#This Row],[Revenus (FCFA)]]/Tableau1[[#This Row],[Dépenses (FCFA)]]</f>
        <v>8.4935897435897427</v>
      </c>
      <c r="M21" s="5" t="str">
        <f>IF(Tableau1[[#This Row],[ROAS (rentabilité des depenses)]]&gt;'Analyse '!$E$14,"PERFORMANT","SOUS PERFORMANT")</f>
        <v>PERFORMANT</v>
      </c>
    </row>
    <row r="22" spans="1:13" x14ac:dyDescent="0.3">
      <c r="A22" s="3">
        <v>46060</v>
      </c>
      <c r="B22" s="4" t="s">
        <v>9</v>
      </c>
      <c r="C22" s="4">
        <v>10400</v>
      </c>
      <c r="D22" s="4">
        <v>270</v>
      </c>
      <c r="E22" s="4">
        <v>20900</v>
      </c>
      <c r="F22" s="4">
        <v>16</v>
      </c>
      <c r="G22" s="4">
        <v>160000</v>
      </c>
      <c r="H22" s="4">
        <f>Tableau1[[#This Row],[Clicks]]/Tableau1[[#This Row],[Impressions]]</f>
        <v>2.5961538461538463E-2</v>
      </c>
      <c r="I22" s="4">
        <f>Tableau1[[#This Row],[Dépenses (FCFA)]]/Tableau1[[#This Row],[Clicks]]</f>
        <v>77.407407407407405</v>
      </c>
      <c r="J22" s="4">
        <f>Tableau1[[#This Row],[Conversions]]/Tableau1[[#This Row],[Clicks]]</f>
        <v>5.9259259259259262E-2</v>
      </c>
      <c r="K22" s="5">
        <f>Tableau1[[#This Row],[Dépenses (FCFA)]]/Tableau1[[#This Row],[Conversions]]</f>
        <v>1306.25</v>
      </c>
      <c r="L22" s="5">
        <f>Tableau1[[#This Row],[Revenus (FCFA)]]/Tableau1[[#This Row],[Dépenses (FCFA)]]</f>
        <v>7.6555023923444976</v>
      </c>
      <c r="M22" s="5" t="str">
        <f>IF(Tableau1[[#This Row],[ROAS (rentabilité des depenses)]]&gt;'Analyse '!$E$14,"PERFORMANT","SOUS PERFORMANT")</f>
        <v>SOUS PERFORMANT</v>
      </c>
    </row>
    <row r="23" spans="1:13" x14ac:dyDescent="0.3">
      <c r="A23" s="3">
        <v>46061</v>
      </c>
      <c r="B23" s="4" t="s">
        <v>7</v>
      </c>
      <c r="C23" s="4">
        <v>12200</v>
      </c>
      <c r="D23" s="4">
        <v>372</v>
      </c>
      <c r="E23" s="4">
        <v>25400</v>
      </c>
      <c r="F23" s="4">
        <v>19</v>
      </c>
      <c r="G23" s="4">
        <v>185000</v>
      </c>
      <c r="H23" s="4">
        <f>Tableau1[[#This Row],[Clicks]]/Tableau1[[#This Row],[Impressions]]</f>
        <v>3.0491803278688525E-2</v>
      </c>
      <c r="I23" s="4">
        <f>Tableau1[[#This Row],[Dépenses (FCFA)]]/Tableau1[[#This Row],[Clicks]]</f>
        <v>68.27956989247312</v>
      </c>
      <c r="J23" s="4">
        <f>Tableau1[[#This Row],[Conversions]]/Tableau1[[#This Row],[Clicks]]</f>
        <v>5.1075268817204304E-2</v>
      </c>
      <c r="K23" s="5">
        <f>Tableau1[[#This Row],[Dépenses (FCFA)]]/Tableau1[[#This Row],[Conversions]]</f>
        <v>1336.8421052631579</v>
      </c>
      <c r="L23" s="5">
        <f>Tableau1[[#This Row],[Revenus (FCFA)]]/Tableau1[[#This Row],[Dépenses (FCFA)]]</f>
        <v>7.2834645669291342</v>
      </c>
      <c r="M23" s="5" t="str">
        <f>IF(Tableau1[[#This Row],[ROAS (rentabilité des depenses)]]&gt;'Analyse '!$E$14,"PERFORMANT","SOUS PERFORMANT")</f>
        <v>SOUS PERFORMANT</v>
      </c>
    </row>
    <row r="24" spans="1:13" x14ac:dyDescent="0.3">
      <c r="A24" s="3">
        <v>46061</v>
      </c>
      <c r="B24" s="4" t="s">
        <v>8</v>
      </c>
      <c r="C24" s="4">
        <v>8450</v>
      </c>
      <c r="D24" s="4">
        <v>425</v>
      </c>
      <c r="E24" s="4">
        <v>31500</v>
      </c>
      <c r="F24" s="4">
        <v>28</v>
      </c>
      <c r="G24" s="4">
        <v>268000</v>
      </c>
      <c r="H24" s="4">
        <f>Tableau1[[#This Row],[Clicks]]/Tableau1[[#This Row],[Impressions]]</f>
        <v>5.0295857988165681E-2</v>
      </c>
      <c r="I24" s="4">
        <f>Tableau1[[#This Row],[Dépenses (FCFA)]]/Tableau1[[#This Row],[Clicks]]</f>
        <v>74.117647058823536</v>
      </c>
      <c r="J24" s="4">
        <f>Tableau1[[#This Row],[Conversions]]/Tableau1[[#This Row],[Clicks]]</f>
        <v>6.5882352941176475E-2</v>
      </c>
      <c r="K24" s="5">
        <f>Tableau1[[#This Row],[Dépenses (FCFA)]]/Tableau1[[#This Row],[Conversions]]</f>
        <v>1125</v>
      </c>
      <c r="L24" s="5">
        <f>Tableau1[[#This Row],[Revenus (FCFA)]]/Tableau1[[#This Row],[Dépenses (FCFA)]]</f>
        <v>8.5079365079365079</v>
      </c>
      <c r="M24" s="5" t="str">
        <f>IF(Tableau1[[#This Row],[ROAS (rentabilité des depenses)]]&gt;'Analyse '!$E$14,"PERFORMANT","SOUS PERFORMANT")</f>
        <v>PERFORMANT</v>
      </c>
    </row>
    <row r="25" spans="1:13" x14ac:dyDescent="0.3">
      <c r="A25" s="3">
        <v>46061</v>
      </c>
      <c r="B25" s="4" t="s">
        <v>9</v>
      </c>
      <c r="C25" s="4">
        <v>10450</v>
      </c>
      <c r="D25" s="4">
        <v>272</v>
      </c>
      <c r="E25" s="4">
        <v>21000</v>
      </c>
      <c r="F25" s="4">
        <v>16</v>
      </c>
      <c r="G25" s="4">
        <v>162000</v>
      </c>
      <c r="H25" s="4">
        <f>Tableau1[[#This Row],[Clicks]]/Tableau1[[#This Row],[Impressions]]</f>
        <v>2.6028708133971293E-2</v>
      </c>
      <c r="I25" s="4">
        <f>Tableau1[[#This Row],[Dépenses (FCFA)]]/Tableau1[[#This Row],[Clicks]]</f>
        <v>77.205882352941174</v>
      </c>
      <c r="J25" s="4">
        <f>Tableau1[[#This Row],[Conversions]]/Tableau1[[#This Row],[Clicks]]</f>
        <v>5.8823529411764705E-2</v>
      </c>
      <c r="K25" s="5">
        <f>Tableau1[[#This Row],[Dépenses (FCFA)]]/Tableau1[[#This Row],[Conversions]]</f>
        <v>1312.5</v>
      </c>
      <c r="L25" s="5">
        <f>Tableau1[[#This Row],[Revenus (FCFA)]]/Tableau1[[#This Row],[Dépenses (FCFA)]]</f>
        <v>7.7142857142857144</v>
      </c>
      <c r="M25" s="5" t="str">
        <f>IF(Tableau1[[#This Row],[ROAS (rentabilité des depenses)]]&gt;'Analyse '!$E$14,"PERFORMANT","SOUS PERFORMANT")</f>
        <v>SOUS PERFORMANT</v>
      </c>
    </row>
    <row r="26" spans="1:13" x14ac:dyDescent="0.3">
      <c r="A26" s="3">
        <v>46062</v>
      </c>
      <c r="B26" s="4" t="s">
        <v>7</v>
      </c>
      <c r="C26" s="4">
        <v>12300</v>
      </c>
      <c r="D26" s="4">
        <v>375</v>
      </c>
      <c r="E26" s="4">
        <v>25600</v>
      </c>
      <c r="F26" s="4">
        <v>20</v>
      </c>
      <c r="G26" s="4">
        <v>187000</v>
      </c>
      <c r="H26" s="4">
        <f>Tableau1[[#This Row],[Clicks]]/Tableau1[[#This Row],[Impressions]]</f>
        <v>3.048780487804878E-2</v>
      </c>
      <c r="I26" s="4">
        <f>Tableau1[[#This Row],[Dépenses (FCFA)]]/Tableau1[[#This Row],[Clicks]]</f>
        <v>68.266666666666666</v>
      </c>
      <c r="J26" s="4">
        <f>Tableau1[[#This Row],[Conversions]]/Tableau1[[#This Row],[Clicks]]</f>
        <v>5.3333333333333337E-2</v>
      </c>
      <c r="K26" s="5">
        <f>Tableau1[[#This Row],[Dépenses (FCFA)]]/Tableau1[[#This Row],[Conversions]]</f>
        <v>1280</v>
      </c>
      <c r="L26" s="5">
        <f>Tableau1[[#This Row],[Revenus (FCFA)]]/Tableau1[[#This Row],[Dépenses (FCFA)]]</f>
        <v>7.3046875</v>
      </c>
      <c r="M26" s="5" t="str">
        <f>IF(Tableau1[[#This Row],[ROAS (rentabilité des depenses)]]&gt;'Analyse '!$E$14,"PERFORMANT","SOUS PERFORMANT")</f>
        <v>SOUS PERFORMANT</v>
      </c>
    </row>
    <row r="27" spans="1:13" x14ac:dyDescent="0.3">
      <c r="A27" s="3">
        <v>46062</v>
      </c>
      <c r="B27" s="4" t="s">
        <v>8</v>
      </c>
      <c r="C27" s="4">
        <v>8500</v>
      </c>
      <c r="D27" s="4">
        <v>430</v>
      </c>
      <c r="E27" s="4">
        <v>31800</v>
      </c>
      <c r="F27" s="4">
        <v>29</v>
      </c>
      <c r="G27" s="4">
        <v>270000</v>
      </c>
      <c r="H27" s="4">
        <f>Tableau1[[#This Row],[Clicks]]/Tableau1[[#This Row],[Impressions]]</f>
        <v>5.0588235294117649E-2</v>
      </c>
      <c r="I27" s="4">
        <f>Tableau1[[#This Row],[Dépenses (FCFA)]]/Tableau1[[#This Row],[Clicks]]</f>
        <v>73.95348837209302</v>
      </c>
      <c r="J27" s="4">
        <f>Tableau1[[#This Row],[Conversions]]/Tableau1[[#This Row],[Clicks]]</f>
        <v>6.7441860465116285E-2</v>
      </c>
      <c r="K27" s="5">
        <f>Tableau1[[#This Row],[Dépenses (FCFA)]]/Tableau1[[#This Row],[Conversions]]</f>
        <v>1096.5517241379309</v>
      </c>
      <c r="L27" s="5">
        <f>Tableau1[[#This Row],[Revenus (FCFA)]]/Tableau1[[#This Row],[Dépenses (FCFA)]]</f>
        <v>8.4905660377358494</v>
      </c>
      <c r="M27" s="5" t="str">
        <f>IF(Tableau1[[#This Row],[ROAS (rentabilité des depenses)]]&gt;'Analyse '!$E$14,"PERFORMANT","SOUS PERFORMANT")</f>
        <v>PERFORMANT</v>
      </c>
    </row>
    <row r="28" spans="1:13" x14ac:dyDescent="0.3">
      <c r="A28" s="3">
        <v>46062</v>
      </c>
      <c r="B28" s="4" t="s">
        <v>9</v>
      </c>
      <c r="C28" s="4">
        <v>10500</v>
      </c>
      <c r="D28" s="4">
        <v>275</v>
      </c>
      <c r="E28" s="4">
        <v>21200</v>
      </c>
      <c r="F28" s="4">
        <v>17</v>
      </c>
      <c r="G28" s="4">
        <v>165000</v>
      </c>
      <c r="H28" s="4">
        <f>Tableau1[[#This Row],[Clicks]]/Tableau1[[#This Row],[Impressions]]</f>
        <v>2.6190476190476191E-2</v>
      </c>
      <c r="I28" s="4">
        <f>Tableau1[[#This Row],[Dépenses (FCFA)]]/Tableau1[[#This Row],[Clicks]]</f>
        <v>77.090909090909093</v>
      </c>
      <c r="J28" s="4">
        <f>Tableau1[[#This Row],[Conversions]]/Tableau1[[#This Row],[Clicks]]</f>
        <v>6.1818181818181821E-2</v>
      </c>
      <c r="K28" s="5">
        <f>Tableau1[[#This Row],[Dépenses (FCFA)]]/Tableau1[[#This Row],[Conversions]]</f>
        <v>1247.0588235294117</v>
      </c>
      <c r="L28" s="5">
        <f>Tableau1[[#This Row],[Revenus (FCFA)]]/Tableau1[[#This Row],[Dépenses (FCFA)]]</f>
        <v>7.783018867924528</v>
      </c>
      <c r="M28" s="5" t="str">
        <f>IF(Tableau1[[#This Row],[ROAS (rentabilité des depenses)]]&gt;'Analyse '!$E$14,"PERFORMANT","SOUS PERFORMANT")</f>
        <v>SOUS PERFORMANT</v>
      </c>
    </row>
    <row r="29" spans="1:13" x14ac:dyDescent="0.3">
      <c r="A29" s="3">
        <v>46063</v>
      </c>
      <c r="B29" s="4" t="s">
        <v>7</v>
      </c>
      <c r="C29" s="4">
        <v>12400</v>
      </c>
      <c r="D29" s="4">
        <v>378</v>
      </c>
      <c r="E29" s="4">
        <v>25800</v>
      </c>
      <c r="F29" s="4">
        <v>20</v>
      </c>
      <c r="G29" s="4">
        <v>188000</v>
      </c>
      <c r="H29" s="4">
        <f>Tableau1[[#This Row],[Clicks]]/Tableau1[[#This Row],[Impressions]]</f>
        <v>3.0483870967741935E-2</v>
      </c>
      <c r="I29" s="4">
        <f>Tableau1[[#This Row],[Dépenses (FCFA)]]/Tableau1[[#This Row],[Clicks]]</f>
        <v>68.253968253968253</v>
      </c>
      <c r="J29" s="4">
        <f>Tableau1[[#This Row],[Conversions]]/Tableau1[[#This Row],[Clicks]]</f>
        <v>5.2910052910052907E-2</v>
      </c>
      <c r="K29" s="5">
        <f>Tableau1[[#This Row],[Dépenses (FCFA)]]/Tableau1[[#This Row],[Conversions]]</f>
        <v>1290</v>
      </c>
      <c r="L29" s="5">
        <f>Tableau1[[#This Row],[Revenus (FCFA)]]/Tableau1[[#This Row],[Dépenses (FCFA)]]</f>
        <v>7.2868217054263562</v>
      </c>
      <c r="M29" s="5" t="str">
        <f>IF(Tableau1[[#This Row],[ROAS (rentabilité des depenses)]]&gt;'Analyse '!$E$14,"PERFORMANT","SOUS PERFORMANT")</f>
        <v>SOUS PERFORMANT</v>
      </c>
    </row>
    <row r="30" spans="1:13" x14ac:dyDescent="0.3">
      <c r="A30" s="3">
        <v>46063</v>
      </c>
      <c r="B30" s="4" t="s">
        <v>8</v>
      </c>
      <c r="C30" s="4">
        <v>8550</v>
      </c>
      <c r="D30" s="4">
        <v>435</v>
      </c>
      <c r="E30" s="4">
        <v>32000</v>
      </c>
      <c r="F30" s="4">
        <v>29</v>
      </c>
      <c r="G30" s="4">
        <v>272000</v>
      </c>
      <c r="H30" s="4">
        <f>Tableau1[[#This Row],[Clicks]]/Tableau1[[#This Row],[Impressions]]</f>
        <v>5.0877192982456139E-2</v>
      </c>
      <c r="I30" s="4">
        <f>Tableau1[[#This Row],[Dépenses (FCFA)]]/Tableau1[[#This Row],[Clicks]]</f>
        <v>73.563218390804593</v>
      </c>
      <c r="J30" s="4">
        <f>Tableau1[[#This Row],[Conversions]]/Tableau1[[#This Row],[Clicks]]</f>
        <v>6.6666666666666666E-2</v>
      </c>
      <c r="K30" s="5">
        <f>Tableau1[[#This Row],[Dépenses (FCFA)]]/Tableau1[[#This Row],[Conversions]]</f>
        <v>1103.4482758620691</v>
      </c>
      <c r="L30" s="5">
        <f>Tableau1[[#This Row],[Revenus (FCFA)]]/Tableau1[[#This Row],[Dépenses (FCFA)]]</f>
        <v>8.5</v>
      </c>
      <c r="M30" s="5" t="str">
        <f>IF(Tableau1[[#This Row],[ROAS (rentabilité des depenses)]]&gt;'Analyse '!$E$14,"PERFORMANT","SOUS PERFORMANT")</f>
        <v>PERFORMANT</v>
      </c>
    </row>
    <row r="31" spans="1:13" x14ac:dyDescent="0.3">
      <c r="A31" s="3">
        <v>46063</v>
      </c>
      <c r="B31" s="4" t="s">
        <v>9</v>
      </c>
      <c r="C31" s="4">
        <v>10550</v>
      </c>
      <c r="D31" s="4">
        <v>277</v>
      </c>
      <c r="E31" s="4">
        <v>21300</v>
      </c>
      <c r="F31" s="4">
        <v>17</v>
      </c>
      <c r="G31" s="4">
        <v>167000</v>
      </c>
      <c r="H31" s="4">
        <f>Tableau1[[#This Row],[Clicks]]/Tableau1[[#This Row],[Impressions]]</f>
        <v>2.6255924170616115E-2</v>
      </c>
      <c r="I31" s="4">
        <f>Tableau1[[#This Row],[Dépenses (FCFA)]]/Tableau1[[#This Row],[Clicks]]</f>
        <v>76.895306859205775</v>
      </c>
      <c r="J31" s="4">
        <f>Tableau1[[#This Row],[Conversions]]/Tableau1[[#This Row],[Clicks]]</f>
        <v>6.1371841155234655E-2</v>
      </c>
      <c r="K31" s="5">
        <f>Tableau1[[#This Row],[Dépenses (FCFA)]]/Tableau1[[#This Row],[Conversions]]</f>
        <v>1252.9411764705883</v>
      </c>
      <c r="L31" s="5">
        <f>Tableau1[[#This Row],[Revenus (FCFA)]]/Tableau1[[#This Row],[Dépenses (FCFA)]]</f>
        <v>7.84037558685446</v>
      </c>
      <c r="M31" s="5" t="str">
        <f>IF(Tableau1[[#This Row],[ROAS (rentabilité des depenses)]]&gt;'Analyse '!$E$14,"PERFORMANT","SOUS PERFORMANT")</f>
        <v>SOUS PERFORMANT</v>
      </c>
    </row>
    <row r="32" spans="1:13" x14ac:dyDescent="0.3">
      <c r="A32" s="3">
        <v>46064</v>
      </c>
      <c r="B32" s="4" t="s">
        <v>7</v>
      </c>
      <c r="C32" s="4">
        <v>12500</v>
      </c>
      <c r="D32" s="4">
        <v>380</v>
      </c>
      <c r="E32" s="4">
        <v>26000</v>
      </c>
      <c r="F32" s="4">
        <v>20</v>
      </c>
      <c r="G32" s="4">
        <v>190000</v>
      </c>
      <c r="H32" s="4">
        <f>Tableau1[[#This Row],[Clicks]]/Tableau1[[#This Row],[Impressions]]</f>
        <v>3.04E-2</v>
      </c>
      <c r="I32" s="4">
        <f>Tableau1[[#This Row],[Dépenses (FCFA)]]/Tableau1[[#This Row],[Clicks]]</f>
        <v>68.421052631578945</v>
      </c>
      <c r="J32" s="4">
        <f>Tableau1[[#This Row],[Conversions]]/Tableau1[[#This Row],[Clicks]]</f>
        <v>5.2631578947368418E-2</v>
      </c>
      <c r="K32" s="5">
        <f>Tableau1[[#This Row],[Dépenses (FCFA)]]/Tableau1[[#This Row],[Conversions]]</f>
        <v>1300</v>
      </c>
      <c r="L32" s="5">
        <f>Tableau1[[#This Row],[Revenus (FCFA)]]/Tableau1[[#This Row],[Dépenses (FCFA)]]</f>
        <v>7.3076923076923075</v>
      </c>
      <c r="M32" s="5" t="str">
        <f>IF(Tableau1[[#This Row],[ROAS (rentabilité des depenses)]]&gt;'Analyse '!$E$14,"PERFORMANT","SOUS PERFORMANT")</f>
        <v>SOUS PERFORMANT</v>
      </c>
    </row>
    <row r="33" spans="1:13" x14ac:dyDescent="0.3">
      <c r="A33" s="3">
        <v>46064</v>
      </c>
      <c r="B33" s="4" t="s">
        <v>8</v>
      </c>
      <c r="C33" s="4">
        <v>8600</v>
      </c>
      <c r="D33" s="4">
        <v>438</v>
      </c>
      <c r="E33" s="4">
        <v>32200</v>
      </c>
      <c r="F33" s="4">
        <v>30</v>
      </c>
      <c r="G33" s="4">
        <v>275000</v>
      </c>
      <c r="H33" s="4">
        <f>Tableau1[[#This Row],[Clicks]]/Tableau1[[#This Row],[Impressions]]</f>
        <v>5.0930232558139533E-2</v>
      </c>
      <c r="I33" s="4">
        <f>Tableau1[[#This Row],[Dépenses (FCFA)]]/Tableau1[[#This Row],[Clicks]]</f>
        <v>73.515981735159812</v>
      </c>
      <c r="J33" s="4">
        <f>Tableau1[[#This Row],[Conversions]]/Tableau1[[#This Row],[Clicks]]</f>
        <v>6.8493150684931503E-2</v>
      </c>
      <c r="K33" s="5">
        <f>Tableau1[[#This Row],[Dépenses (FCFA)]]/Tableau1[[#This Row],[Conversions]]</f>
        <v>1073.3333333333333</v>
      </c>
      <c r="L33" s="5">
        <f>Tableau1[[#This Row],[Revenus (FCFA)]]/Tableau1[[#This Row],[Dépenses (FCFA)]]</f>
        <v>8.5403726708074537</v>
      </c>
      <c r="M33" s="5" t="str">
        <f>IF(Tableau1[[#This Row],[ROAS (rentabilité des depenses)]]&gt;'Analyse '!$E$14,"PERFORMANT","SOUS PERFORMANT")</f>
        <v>PERFORMANT</v>
      </c>
    </row>
    <row r="34" spans="1:13" x14ac:dyDescent="0.3">
      <c r="A34" s="3">
        <v>46064</v>
      </c>
      <c r="B34" s="4" t="s">
        <v>9</v>
      </c>
      <c r="C34" s="4">
        <v>10600</v>
      </c>
      <c r="D34" s="4">
        <v>280</v>
      </c>
      <c r="E34" s="4">
        <v>21500</v>
      </c>
      <c r="F34" s="4">
        <v>18</v>
      </c>
      <c r="G34" s="4">
        <v>170000</v>
      </c>
      <c r="H34" s="4">
        <f>Tableau1[[#This Row],[Clicks]]/Tableau1[[#This Row],[Impressions]]</f>
        <v>2.6415094339622643E-2</v>
      </c>
      <c r="I34" s="4">
        <f>Tableau1[[#This Row],[Dépenses (FCFA)]]/Tableau1[[#This Row],[Clicks]]</f>
        <v>76.785714285714292</v>
      </c>
      <c r="J34" s="4">
        <f>Tableau1[[#This Row],[Conversions]]/Tableau1[[#This Row],[Clicks]]</f>
        <v>6.4285714285714279E-2</v>
      </c>
      <c r="K34" s="5">
        <f>Tableau1[[#This Row],[Dépenses (FCFA)]]/Tableau1[[#This Row],[Conversions]]</f>
        <v>1194.4444444444443</v>
      </c>
      <c r="L34" s="5">
        <f>Tableau1[[#This Row],[Revenus (FCFA)]]/Tableau1[[#This Row],[Dépenses (FCFA)]]</f>
        <v>7.9069767441860463</v>
      </c>
      <c r="M34" s="5" t="str">
        <f>IF(Tableau1[[#This Row],[ROAS (rentabilité des depenses)]]&gt;'Analyse '!$E$14,"PERFORMANT","SOUS PERFORMANT")</f>
        <v>SOUS PERFORMANT</v>
      </c>
    </row>
    <row r="35" spans="1:13" x14ac:dyDescent="0.3">
      <c r="A35" s="3">
        <v>46065</v>
      </c>
      <c r="B35" s="4" t="s">
        <v>7</v>
      </c>
      <c r="C35" s="4">
        <v>12600</v>
      </c>
      <c r="D35" s="4">
        <v>383</v>
      </c>
      <c r="E35" s="4">
        <v>26200</v>
      </c>
      <c r="F35" s="4">
        <v>21</v>
      </c>
      <c r="G35" s="4">
        <v>192000</v>
      </c>
      <c r="H35" s="4">
        <f>Tableau1[[#This Row],[Clicks]]/Tableau1[[#This Row],[Impressions]]</f>
        <v>3.0396825396825398E-2</v>
      </c>
      <c r="I35" s="4">
        <f>Tableau1[[#This Row],[Dépenses (FCFA)]]/Tableau1[[#This Row],[Clicks]]</f>
        <v>68.407310704960835</v>
      </c>
      <c r="J35" s="4">
        <f>Tableau1[[#This Row],[Conversions]]/Tableau1[[#This Row],[Clicks]]</f>
        <v>5.4830287206266322E-2</v>
      </c>
      <c r="K35" s="5">
        <f>Tableau1[[#This Row],[Dépenses (FCFA)]]/Tableau1[[#This Row],[Conversions]]</f>
        <v>1247.6190476190477</v>
      </c>
      <c r="L35" s="5">
        <f>Tableau1[[#This Row],[Revenus (FCFA)]]/Tableau1[[#This Row],[Dépenses (FCFA)]]</f>
        <v>7.3282442748091601</v>
      </c>
      <c r="M35" s="5" t="str">
        <f>IF(Tableau1[[#This Row],[ROAS (rentabilité des depenses)]]&gt;'Analyse '!$E$14,"PERFORMANT","SOUS PERFORMANT")</f>
        <v>SOUS PERFORMANT</v>
      </c>
    </row>
    <row r="36" spans="1:13" x14ac:dyDescent="0.3">
      <c r="A36" s="3">
        <v>46065</v>
      </c>
      <c r="B36" s="4" t="s">
        <v>8</v>
      </c>
      <c r="C36" s="4">
        <v>8650</v>
      </c>
      <c r="D36" s="4">
        <v>440</v>
      </c>
      <c r="E36" s="4">
        <v>32500</v>
      </c>
      <c r="F36" s="4">
        <v>30</v>
      </c>
      <c r="G36" s="4">
        <v>277000</v>
      </c>
      <c r="H36" s="4">
        <f>Tableau1[[#This Row],[Clicks]]/Tableau1[[#This Row],[Impressions]]</f>
        <v>5.086705202312139E-2</v>
      </c>
      <c r="I36" s="4">
        <f>Tableau1[[#This Row],[Dépenses (FCFA)]]/Tableau1[[#This Row],[Clicks]]</f>
        <v>73.86363636363636</v>
      </c>
      <c r="J36" s="4">
        <f>Tableau1[[#This Row],[Conversions]]/Tableau1[[#This Row],[Clicks]]</f>
        <v>6.8181818181818177E-2</v>
      </c>
      <c r="K36" s="5">
        <f>Tableau1[[#This Row],[Dépenses (FCFA)]]/Tableau1[[#This Row],[Conversions]]</f>
        <v>1083.3333333333333</v>
      </c>
      <c r="L36" s="5">
        <f>Tableau1[[#This Row],[Revenus (FCFA)]]/Tableau1[[#This Row],[Dépenses (FCFA)]]</f>
        <v>8.523076923076923</v>
      </c>
      <c r="M36" s="5" t="str">
        <f>IF(Tableau1[[#This Row],[ROAS (rentabilité des depenses)]]&gt;'Analyse '!$E$14,"PERFORMANT","SOUS PERFORMANT")</f>
        <v>PERFORMANT</v>
      </c>
    </row>
    <row r="37" spans="1:13" x14ac:dyDescent="0.3">
      <c r="A37" s="3">
        <v>46065</v>
      </c>
      <c r="B37" s="4" t="s">
        <v>9</v>
      </c>
      <c r="C37" s="4">
        <v>10650</v>
      </c>
      <c r="D37" s="4">
        <v>282</v>
      </c>
      <c r="E37" s="4">
        <v>21600</v>
      </c>
      <c r="F37" s="4">
        <v>18</v>
      </c>
      <c r="G37" s="4">
        <v>172000</v>
      </c>
      <c r="H37" s="4">
        <f>Tableau1[[#This Row],[Clicks]]/Tableau1[[#This Row],[Impressions]]</f>
        <v>2.647887323943662E-2</v>
      </c>
      <c r="I37" s="4">
        <f>Tableau1[[#This Row],[Dépenses (FCFA)]]/Tableau1[[#This Row],[Clicks]]</f>
        <v>76.59574468085107</v>
      </c>
      <c r="J37" s="4">
        <f>Tableau1[[#This Row],[Conversions]]/Tableau1[[#This Row],[Clicks]]</f>
        <v>6.3829787234042548E-2</v>
      </c>
      <c r="K37" s="5">
        <f>Tableau1[[#This Row],[Dépenses (FCFA)]]/Tableau1[[#This Row],[Conversions]]</f>
        <v>1200</v>
      </c>
      <c r="L37" s="5">
        <f>Tableau1[[#This Row],[Revenus (FCFA)]]/Tableau1[[#This Row],[Dépenses (FCFA)]]</f>
        <v>7.9629629629629628</v>
      </c>
      <c r="M37" s="5" t="str">
        <f>IF(Tableau1[[#This Row],[ROAS (rentabilité des depenses)]]&gt;'Analyse '!$E$14,"PERFORMANT","SOUS PERFORMANT")</f>
        <v>PERFORMANT</v>
      </c>
    </row>
    <row r="38" spans="1:13" x14ac:dyDescent="0.3">
      <c r="A38" s="3">
        <v>46066</v>
      </c>
      <c r="B38" s="4" t="s">
        <v>7</v>
      </c>
      <c r="C38" s="4">
        <v>12700</v>
      </c>
      <c r="D38" s="4">
        <v>385</v>
      </c>
      <c r="E38" s="4">
        <v>26400</v>
      </c>
      <c r="F38" s="4">
        <v>21</v>
      </c>
      <c r="G38" s="4">
        <v>193000</v>
      </c>
      <c r="H38" s="4">
        <f>Tableau1[[#This Row],[Clicks]]/Tableau1[[#This Row],[Impressions]]</f>
        <v>3.0314960629921259E-2</v>
      </c>
      <c r="I38" s="4">
        <f>Tableau1[[#This Row],[Dépenses (FCFA)]]/Tableau1[[#This Row],[Clicks]]</f>
        <v>68.571428571428569</v>
      </c>
      <c r="J38" s="4">
        <f>Tableau1[[#This Row],[Conversions]]/Tableau1[[#This Row],[Clicks]]</f>
        <v>5.4545454545454543E-2</v>
      </c>
      <c r="K38" s="5">
        <f>Tableau1[[#This Row],[Dépenses (FCFA)]]/Tableau1[[#This Row],[Conversions]]</f>
        <v>1257.1428571428571</v>
      </c>
      <c r="L38" s="5">
        <f>Tableau1[[#This Row],[Revenus (FCFA)]]/Tableau1[[#This Row],[Dépenses (FCFA)]]</f>
        <v>7.3106060606060606</v>
      </c>
      <c r="M38" s="5" t="str">
        <f>IF(Tableau1[[#This Row],[ROAS (rentabilité des depenses)]]&gt;'Analyse '!$E$14,"PERFORMANT","SOUS PERFORMANT")</f>
        <v>SOUS PERFORMANT</v>
      </c>
    </row>
    <row r="39" spans="1:13" x14ac:dyDescent="0.3">
      <c r="A39" s="3">
        <v>46066</v>
      </c>
      <c r="B39" s="4" t="s">
        <v>8</v>
      </c>
      <c r="C39" s="4">
        <v>8700</v>
      </c>
      <c r="D39" s="4">
        <v>443</v>
      </c>
      <c r="E39" s="4">
        <v>32800</v>
      </c>
      <c r="F39" s="4">
        <v>31</v>
      </c>
      <c r="G39" s="4">
        <v>280000</v>
      </c>
      <c r="H39" s="4">
        <f>Tableau1[[#This Row],[Clicks]]/Tableau1[[#This Row],[Impressions]]</f>
        <v>5.0919540229885055E-2</v>
      </c>
      <c r="I39" s="4">
        <f>Tableau1[[#This Row],[Dépenses (FCFA)]]/Tableau1[[#This Row],[Clicks]]</f>
        <v>74.040632054176072</v>
      </c>
      <c r="J39" s="4">
        <f>Tableau1[[#This Row],[Conversions]]/Tableau1[[#This Row],[Clicks]]</f>
        <v>6.9977426636568849E-2</v>
      </c>
      <c r="K39" s="5">
        <f>Tableau1[[#This Row],[Dépenses (FCFA)]]/Tableau1[[#This Row],[Conversions]]</f>
        <v>1058.0645161290322</v>
      </c>
      <c r="L39" s="5">
        <f>Tableau1[[#This Row],[Revenus (FCFA)]]/Tableau1[[#This Row],[Dépenses (FCFA)]]</f>
        <v>8.536585365853659</v>
      </c>
      <c r="M39" s="5" t="str">
        <f>IF(Tableau1[[#This Row],[ROAS (rentabilité des depenses)]]&gt;'Analyse '!$E$14,"PERFORMANT","SOUS PERFORMANT")</f>
        <v>PERFORMANT</v>
      </c>
    </row>
    <row r="40" spans="1:13" x14ac:dyDescent="0.3">
      <c r="A40" s="3">
        <v>46066</v>
      </c>
      <c r="B40" s="4" t="s">
        <v>9</v>
      </c>
      <c r="C40" s="4">
        <v>10700</v>
      </c>
      <c r="D40" s="4">
        <v>285</v>
      </c>
      <c r="E40" s="4">
        <v>21800</v>
      </c>
      <c r="F40" s="4">
        <v>18</v>
      </c>
      <c r="G40" s="4">
        <v>174000</v>
      </c>
      <c r="H40" s="4">
        <f>Tableau1[[#This Row],[Clicks]]/Tableau1[[#This Row],[Impressions]]</f>
        <v>2.6635514018691589E-2</v>
      </c>
      <c r="I40" s="4">
        <f>Tableau1[[#This Row],[Dépenses (FCFA)]]/Tableau1[[#This Row],[Clicks]]</f>
        <v>76.491228070175438</v>
      </c>
      <c r="J40" s="4">
        <f>Tableau1[[#This Row],[Conversions]]/Tableau1[[#This Row],[Clicks]]</f>
        <v>6.3157894736842107E-2</v>
      </c>
      <c r="K40" s="5">
        <f>Tableau1[[#This Row],[Dépenses (FCFA)]]/Tableau1[[#This Row],[Conversions]]</f>
        <v>1211.1111111111111</v>
      </c>
      <c r="L40" s="5">
        <f>Tableau1[[#This Row],[Revenus (FCFA)]]/Tableau1[[#This Row],[Dépenses (FCFA)]]</f>
        <v>7.9816513761467887</v>
      </c>
      <c r="M40" s="5" t="str">
        <f>IF(Tableau1[[#This Row],[ROAS (rentabilité des depenses)]]&gt;'Analyse '!$E$14,"PERFORMANT","SOUS PERFORMANT")</f>
        <v>PERFORMANT</v>
      </c>
    </row>
    <row r="41" spans="1:13" x14ac:dyDescent="0.3">
      <c r="A41" s="3">
        <v>46067</v>
      </c>
      <c r="B41" s="4" t="s">
        <v>7</v>
      </c>
      <c r="C41" s="4">
        <v>12800</v>
      </c>
      <c r="D41" s="4">
        <v>388</v>
      </c>
      <c r="E41" s="4">
        <v>26600</v>
      </c>
      <c r="F41" s="4">
        <v>22</v>
      </c>
      <c r="G41" s="4">
        <v>195000</v>
      </c>
      <c r="H41" s="4">
        <f>Tableau1[[#This Row],[Clicks]]/Tableau1[[#This Row],[Impressions]]</f>
        <v>3.0312499999999999E-2</v>
      </c>
      <c r="I41" s="4">
        <f>Tableau1[[#This Row],[Dépenses (FCFA)]]/Tableau1[[#This Row],[Clicks]]</f>
        <v>68.55670103092784</v>
      </c>
      <c r="J41" s="4">
        <f>Tableau1[[#This Row],[Conversions]]/Tableau1[[#This Row],[Clicks]]</f>
        <v>5.6701030927835051E-2</v>
      </c>
      <c r="K41" s="5">
        <f>Tableau1[[#This Row],[Dépenses (FCFA)]]/Tableau1[[#This Row],[Conversions]]</f>
        <v>1209.090909090909</v>
      </c>
      <c r="L41" s="5">
        <f>Tableau1[[#This Row],[Revenus (FCFA)]]/Tableau1[[#This Row],[Dépenses (FCFA)]]</f>
        <v>7.3308270676691727</v>
      </c>
      <c r="M41" s="5" t="str">
        <f>IF(Tableau1[[#This Row],[ROAS (rentabilité des depenses)]]&gt;'Analyse '!$E$14,"PERFORMANT","SOUS PERFORMANT")</f>
        <v>SOUS PERFORMANT</v>
      </c>
    </row>
    <row r="42" spans="1:13" x14ac:dyDescent="0.3">
      <c r="A42" s="3">
        <v>46067</v>
      </c>
      <c r="B42" s="4" t="s">
        <v>8</v>
      </c>
      <c r="C42" s="4">
        <v>8750</v>
      </c>
      <c r="D42" s="4">
        <v>445</v>
      </c>
      <c r="E42" s="4">
        <v>33000</v>
      </c>
      <c r="F42" s="4">
        <v>31</v>
      </c>
      <c r="G42" s="4">
        <v>282000</v>
      </c>
      <c r="H42" s="4">
        <f>Tableau1[[#This Row],[Clicks]]/Tableau1[[#This Row],[Impressions]]</f>
        <v>5.0857142857142858E-2</v>
      </c>
      <c r="I42" s="4">
        <f>Tableau1[[#This Row],[Dépenses (FCFA)]]/Tableau1[[#This Row],[Clicks]]</f>
        <v>74.157303370786522</v>
      </c>
      <c r="J42" s="4">
        <f>Tableau1[[#This Row],[Conversions]]/Tableau1[[#This Row],[Clicks]]</f>
        <v>6.9662921348314602E-2</v>
      </c>
      <c r="K42" s="5">
        <f>Tableau1[[#This Row],[Dépenses (FCFA)]]/Tableau1[[#This Row],[Conversions]]</f>
        <v>1064.516129032258</v>
      </c>
      <c r="L42" s="5">
        <f>Tableau1[[#This Row],[Revenus (FCFA)]]/Tableau1[[#This Row],[Dépenses (FCFA)]]</f>
        <v>8.545454545454545</v>
      </c>
      <c r="M42" s="5" t="str">
        <f>IF(Tableau1[[#This Row],[ROAS (rentabilité des depenses)]]&gt;'Analyse '!$E$14,"PERFORMANT","SOUS PERFORMANT")</f>
        <v>PERFORMANT</v>
      </c>
    </row>
    <row r="43" spans="1:13" x14ac:dyDescent="0.3">
      <c r="A43" s="3">
        <v>46067</v>
      </c>
      <c r="B43" s="4" t="s">
        <v>9</v>
      </c>
      <c r="C43" s="4">
        <v>10750</v>
      </c>
      <c r="D43" s="4">
        <v>287</v>
      </c>
      <c r="E43" s="4">
        <v>22000</v>
      </c>
      <c r="F43" s="4">
        <v>19</v>
      </c>
      <c r="G43" s="4">
        <v>175000</v>
      </c>
      <c r="H43" s="4">
        <f>Tableau1[[#This Row],[Clicks]]/Tableau1[[#This Row],[Impressions]]</f>
        <v>2.6697674418604652E-2</v>
      </c>
      <c r="I43" s="4">
        <f>Tableau1[[#This Row],[Dépenses (FCFA)]]/Tableau1[[#This Row],[Clicks]]</f>
        <v>76.655052264808361</v>
      </c>
      <c r="J43" s="4">
        <f>Tableau1[[#This Row],[Conversions]]/Tableau1[[#This Row],[Clicks]]</f>
        <v>6.6202090592334492E-2</v>
      </c>
      <c r="K43" s="5">
        <f>Tableau1[[#This Row],[Dépenses (FCFA)]]/Tableau1[[#This Row],[Conversions]]</f>
        <v>1157.8947368421052</v>
      </c>
      <c r="L43" s="5">
        <f>Tableau1[[#This Row],[Revenus (FCFA)]]/Tableau1[[#This Row],[Dépenses (FCFA)]]</f>
        <v>7.9545454545454541</v>
      </c>
      <c r="M43" s="5" t="str">
        <f>IF(Tableau1[[#This Row],[ROAS (rentabilité des depenses)]]&gt;'Analyse '!$E$14,"PERFORMANT","SOUS PERFORMANT")</f>
        <v>SOUS PERFORMANT</v>
      </c>
    </row>
    <row r="44" spans="1:13" x14ac:dyDescent="0.3">
      <c r="A44" s="3">
        <v>46068</v>
      </c>
      <c r="B44" s="4" t="s">
        <v>7</v>
      </c>
      <c r="C44" s="4">
        <v>12900</v>
      </c>
      <c r="D44" s="4">
        <v>390</v>
      </c>
      <c r="E44" s="4">
        <v>26800</v>
      </c>
      <c r="F44" s="4">
        <v>22</v>
      </c>
      <c r="G44" s="4">
        <v>197000</v>
      </c>
      <c r="H44" s="4">
        <f>Tableau1[[#This Row],[Clicks]]/Tableau1[[#This Row],[Impressions]]</f>
        <v>3.0232558139534883E-2</v>
      </c>
      <c r="I44" s="4">
        <f>Tableau1[[#This Row],[Dépenses (FCFA)]]/Tableau1[[#This Row],[Clicks]]</f>
        <v>68.717948717948715</v>
      </c>
      <c r="J44" s="4">
        <f>Tableau1[[#This Row],[Conversions]]/Tableau1[[#This Row],[Clicks]]</f>
        <v>5.6410256410256411E-2</v>
      </c>
      <c r="K44" s="5">
        <f>Tableau1[[#This Row],[Dépenses (FCFA)]]/Tableau1[[#This Row],[Conversions]]</f>
        <v>1218.1818181818182</v>
      </c>
      <c r="L44" s="5">
        <f>Tableau1[[#This Row],[Revenus (FCFA)]]/Tableau1[[#This Row],[Dépenses (FCFA)]]</f>
        <v>7.3507462686567164</v>
      </c>
      <c r="M44" s="5" t="str">
        <f>IF(Tableau1[[#This Row],[ROAS (rentabilité des depenses)]]&gt;'Analyse '!$E$14,"PERFORMANT","SOUS PERFORMANT")</f>
        <v>SOUS PERFORMANT</v>
      </c>
    </row>
    <row r="45" spans="1:13" x14ac:dyDescent="0.3">
      <c r="A45" s="3">
        <v>46068</v>
      </c>
      <c r="B45" s="4" t="s">
        <v>8</v>
      </c>
      <c r="C45" s="4">
        <v>8800</v>
      </c>
      <c r="D45" s="4">
        <v>448</v>
      </c>
      <c r="E45" s="4">
        <v>33300</v>
      </c>
      <c r="F45" s="4">
        <v>32</v>
      </c>
      <c r="G45" s="4">
        <v>285000</v>
      </c>
      <c r="H45" s="4">
        <f>Tableau1[[#This Row],[Clicks]]/Tableau1[[#This Row],[Impressions]]</f>
        <v>5.0909090909090911E-2</v>
      </c>
      <c r="I45" s="4">
        <f>Tableau1[[#This Row],[Dépenses (FCFA)]]/Tableau1[[#This Row],[Clicks]]</f>
        <v>74.330357142857139</v>
      </c>
      <c r="J45" s="4">
        <f>Tableau1[[#This Row],[Conversions]]/Tableau1[[#This Row],[Clicks]]</f>
        <v>7.1428571428571425E-2</v>
      </c>
      <c r="K45" s="5">
        <f>Tableau1[[#This Row],[Dépenses (FCFA)]]/Tableau1[[#This Row],[Conversions]]</f>
        <v>1040.625</v>
      </c>
      <c r="L45" s="5">
        <f>Tableau1[[#This Row],[Revenus (FCFA)]]/Tableau1[[#This Row],[Dépenses (FCFA)]]</f>
        <v>8.5585585585585591</v>
      </c>
      <c r="M45" s="5" t="str">
        <f>IF(Tableau1[[#This Row],[ROAS (rentabilité des depenses)]]&gt;'Analyse '!$E$14,"PERFORMANT","SOUS PERFORMANT")</f>
        <v>PERFORMANT</v>
      </c>
    </row>
    <row r="46" spans="1:13" x14ac:dyDescent="0.3">
      <c r="A46" s="3">
        <v>46068</v>
      </c>
      <c r="B46" s="4" t="s">
        <v>9</v>
      </c>
      <c r="C46" s="4">
        <v>10800</v>
      </c>
      <c r="D46" s="4">
        <v>290</v>
      </c>
      <c r="E46" s="4">
        <v>22200</v>
      </c>
      <c r="F46" s="4">
        <v>19</v>
      </c>
      <c r="G46" s="4">
        <v>177000</v>
      </c>
      <c r="H46" s="4">
        <f>Tableau1[[#This Row],[Clicks]]/Tableau1[[#This Row],[Impressions]]</f>
        <v>2.6851851851851852E-2</v>
      </c>
      <c r="I46" s="4">
        <f>Tableau1[[#This Row],[Dépenses (FCFA)]]/Tableau1[[#This Row],[Clicks]]</f>
        <v>76.551724137931032</v>
      </c>
      <c r="J46" s="4">
        <f>Tableau1[[#This Row],[Conversions]]/Tableau1[[#This Row],[Clicks]]</f>
        <v>6.5517241379310351E-2</v>
      </c>
      <c r="K46" s="5">
        <f>Tableau1[[#This Row],[Dépenses (FCFA)]]/Tableau1[[#This Row],[Conversions]]</f>
        <v>1168.421052631579</v>
      </c>
      <c r="L46" s="5">
        <f>Tableau1[[#This Row],[Revenus (FCFA)]]/Tableau1[[#This Row],[Dépenses (FCFA)]]</f>
        <v>7.9729729729729728</v>
      </c>
      <c r="M46" s="5" t="str">
        <f>IF(Tableau1[[#This Row],[ROAS (rentabilité des depenses)]]&gt;'Analyse '!$E$14,"PERFORMANT","SOUS PERFORMANT")</f>
        <v>PERFORMANT</v>
      </c>
    </row>
    <row r="47" spans="1:13" x14ac:dyDescent="0.3">
      <c r="A47" s="3">
        <v>46069</v>
      </c>
      <c r="B47" s="4" t="s">
        <v>7</v>
      </c>
      <c r="C47" s="4">
        <v>13000</v>
      </c>
      <c r="D47" s="4">
        <v>393</v>
      </c>
      <c r="E47" s="4">
        <v>27000</v>
      </c>
      <c r="F47" s="4">
        <v>23</v>
      </c>
      <c r="G47" s="4">
        <v>200000</v>
      </c>
      <c r="H47" s="4">
        <f>Tableau1[[#This Row],[Clicks]]/Tableau1[[#This Row],[Impressions]]</f>
        <v>3.0230769230769231E-2</v>
      </c>
      <c r="I47" s="4">
        <f>Tableau1[[#This Row],[Dépenses (FCFA)]]/Tableau1[[#This Row],[Clicks]]</f>
        <v>68.702290076335885</v>
      </c>
      <c r="J47" s="4">
        <f>Tableau1[[#This Row],[Conversions]]/Tableau1[[#This Row],[Clicks]]</f>
        <v>5.8524173027989825E-2</v>
      </c>
      <c r="K47" s="5">
        <f>Tableau1[[#This Row],[Dépenses (FCFA)]]/Tableau1[[#This Row],[Conversions]]</f>
        <v>1173.9130434782608</v>
      </c>
      <c r="L47" s="5">
        <f>Tableau1[[#This Row],[Revenus (FCFA)]]/Tableau1[[#This Row],[Dépenses (FCFA)]]</f>
        <v>7.4074074074074074</v>
      </c>
      <c r="M47" s="5" t="str">
        <f>IF(Tableau1[[#This Row],[ROAS (rentabilité des depenses)]]&gt;'Analyse '!$E$14,"PERFORMANT","SOUS PERFORMANT")</f>
        <v>SOUS PERFORMANT</v>
      </c>
    </row>
    <row r="48" spans="1:13" x14ac:dyDescent="0.3">
      <c r="A48" s="3">
        <v>46069</v>
      </c>
      <c r="B48" s="4" t="s">
        <v>8</v>
      </c>
      <c r="C48" s="4">
        <v>8850</v>
      </c>
      <c r="D48" s="4">
        <v>450</v>
      </c>
      <c r="E48" s="4">
        <v>33500</v>
      </c>
      <c r="F48" s="4">
        <v>32</v>
      </c>
      <c r="G48" s="4">
        <v>287000</v>
      </c>
      <c r="H48" s="4">
        <f>Tableau1[[#This Row],[Clicks]]/Tableau1[[#This Row],[Impressions]]</f>
        <v>5.0847457627118647E-2</v>
      </c>
      <c r="I48" s="4">
        <f>Tableau1[[#This Row],[Dépenses (FCFA)]]/Tableau1[[#This Row],[Clicks]]</f>
        <v>74.444444444444443</v>
      </c>
      <c r="J48" s="4">
        <f>Tableau1[[#This Row],[Conversions]]/Tableau1[[#This Row],[Clicks]]</f>
        <v>7.1111111111111111E-2</v>
      </c>
      <c r="K48" s="5">
        <f>Tableau1[[#This Row],[Dépenses (FCFA)]]/Tableau1[[#This Row],[Conversions]]</f>
        <v>1046.875</v>
      </c>
      <c r="L48" s="5">
        <f>Tableau1[[#This Row],[Revenus (FCFA)]]/Tableau1[[#This Row],[Dépenses (FCFA)]]</f>
        <v>8.567164179104477</v>
      </c>
      <c r="M48" s="5" t="str">
        <f>IF(Tableau1[[#This Row],[ROAS (rentabilité des depenses)]]&gt;'Analyse '!$E$14,"PERFORMANT","SOUS PERFORMANT")</f>
        <v>PERFORMANT</v>
      </c>
    </row>
    <row r="49" spans="1:13" x14ac:dyDescent="0.3">
      <c r="A49" s="3">
        <v>46069</v>
      </c>
      <c r="B49" s="4" t="s">
        <v>9</v>
      </c>
      <c r="C49" s="4">
        <v>10850</v>
      </c>
      <c r="D49" s="4">
        <v>292</v>
      </c>
      <c r="E49" s="4">
        <v>22300</v>
      </c>
      <c r="F49" s="4">
        <v>19</v>
      </c>
      <c r="G49" s="4">
        <v>179000</v>
      </c>
      <c r="H49" s="4">
        <f>Tableau1[[#This Row],[Clicks]]/Tableau1[[#This Row],[Impressions]]</f>
        <v>2.6912442396313366E-2</v>
      </c>
      <c r="I49" s="4">
        <f>Tableau1[[#This Row],[Dépenses (FCFA)]]/Tableau1[[#This Row],[Clicks]]</f>
        <v>76.369863013698634</v>
      </c>
      <c r="J49" s="4">
        <f>Tableau1[[#This Row],[Conversions]]/Tableau1[[#This Row],[Clicks]]</f>
        <v>6.5068493150684928E-2</v>
      </c>
      <c r="K49" s="5">
        <f>Tableau1[[#This Row],[Dépenses (FCFA)]]/Tableau1[[#This Row],[Conversions]]</f>
        <v>1173.6842105263158</v>
      </c>
      <c r="L49" s="5">
        <f>Tableau1[[#This Row],[Revenus (FCFA)]]/Tableau1[[#This Row],[Dépenses (FCFA)]]</f>
        <v>8.0269058295964122</v>
      </c>
      <c r="M49" s="5" t="str">
        <f>IF(Tableau1[[#This Row],[ROAS (rentabilité des depenses)]]&gt;'Analyse '!$E$14,"PERFORMANT","SOUS PERFORMANT")</f>
        <v>PERFORMANT</v>
      </c>
    </row>
    <row r="50" spans="1:13" x14ac:dyDescent="0.3">
      <c r="A50" s="3">
        <v>46070</v>
      </c>
      <c r="B50" s="4" t="s">
        <v>7</v>
      </c>
      <c r="C50" s="4">
        <v>13100</v>
      </c>
      <c r="D50" s="4">
        <v>395</v>
      </c>
      <c r="E50" s="4">
        <v>27200</v>
      </c>
      <c r="F50" s="4">
        <v>23</v>
      </c>
      <c r="G50" s="4">
        <v>202000</v>
      </c>
      <c r="H50" s="4">
        <f>Tableau1[[#This Row],[Clicks]]/Tableau1[[#This Row],[Impressions]]</f>
        <v>3.015267175572519E-2</v>
      </c>
      <c r="I50" s="4">
        <f>Tableau1[[#This Row],[Dépenses (FCFA)]]/Tableau1[[#This Row],[Clicks]]</f>
        <v>68.860759493670884</v>
      </c>
      <c r="J50" s="4">
        <f>Tableau1[[#This Row],[Conversions]]/Tableau1[[#This Row],[Clicks]]</f>
        <v>5.8227848101265821E-2</v>
      </c>
      <c r="K50" s="5">
        <f>Tableau1[[#This Row],[Dépenses (FCFA)]]/Tableau1[[#This Row],[Conversions]]</f>
        <v>1182.608695652174</v>
      </c>
      <c r="L50" s="5">
        <f>Tableau1[[#This Row],[Revenus (FCFA)]]/Tableau1[[#This Row],[Dépenses (FCFA)]]</f>
        <v>7.4264705882352944</v>
      </c>
      <c r="M50" s="5" t="str">
        <f>IF(Tableau1[[#This Row],[ROAS (rentabilité des depenses)]]&gt;'Analyse '!$E$14,"PERFORMANT","SOUS PERFORMANT")</f>
        <v>SOUS PERFORMANT</v>
      </c>
    </row>
    <row r="51" spans="1:13" x14ac:dyDescent="0.3">
      <c r="A51" s="3">
        <v>46070</v>
      </c>
      <c r="B51" s="4" t="s">
        <v>8</v>
      </c>
      <c r="C51" s="4">
        <v>8900</v>
      </c>
      <c r="D51" s="4">
        <v>453</v>
      </c>
      <c r="E51" s="4">
        <v>33800</v>
      </c>
      <c r="F51" s="4">
        <v>33</v>
      </c>
      <c r="G51" s="4">
        <v>290000</v>
      </c>
      <c r="H51" s="4">
        <f>Tableau1[[#This Row],[Clicks]]/Tableau1[[#This Row],[Impressions]]</f>
        <v>5.0898876404494385E-2</v>
      </c>
      <c r="I51" s="4">
        <f>Tableau1[[#This Row],[Dépenses (FCFA)]]/Tableau1[[#This Row],[Clicks]]</f>
        <v>74.613686534216342</v>
      </c>
      <c r="J51" s="4">
        <f>Tableau1[[#This Row],[Conversions]]/Tableau1[[#This Row],[Clicks]]</f>
        <v>7.2847682119205295E-2</v>
      </c>
      <c r="K51" s="5">
        <f>Tableau1[[#This Row],[Dépenses (FCFA)]]/Tableau1[[#This Row],[Conversions]]</f>
        <v>1024.2424242424242</v>
      </c>
      <c r="L51" s="5">
        <f>Tableau1[[#This Row],[Revenus (FCFA)]]/Tableau1[[#This Row],[Dépenses (FCFA)]]</f>
        <v>8.5798816568047336</v>
      </c>
      <c r="M51" s="5" t="str">
        <f>IF(Tableau1[[#This Row],[ROAS (rentabilité des depenses)]]&gt;'Analyse '!$E$14,"PERFORMANT","SOUS PERFORMANT")</f>
        <v>PERFORMANT</v>
      </c>
    </row>
    <row r="52" spans="1:13" x14ac:dyDescent="0.3">
      <c r="A52" s="3">
        <v>46070</v>
      </c>
      <c r="B52" s="4" t="s">
        <v>9</v>
      </c>
      <c r="C52" s="4">
        <v>10900</v>
      </c>
      <c r="D52" s="4">
        <v>295</v>
      </c>
      <c r="E52" s="4">
        <v>22500</v>
      </c>
      <c r="F52" s="4">
        <v>20</v>
      </c>
      <c r="G52" s="4">
        <v>180000</v>
      </c>
      <c r="H52" s="4">
        <f>Tableau1[[#This Row],[Clicks]]/Tableau1[[#This Row],[Impressions]]</f>
        <v>2.706422018348624E-2</v>
      </c>
      <c r="I52" s="4">
        <f>Tableau1[[#This Row],[Dépenses (FCFA)]]/Tableau1[[#This Row],[Clicks]]</f>
        <v>76.271186440677965</v>
      </c>
      <c r="J52" s="4">
        <f>Tableau1[[#This Row],[Conversions]]/Tableau1[[#This Row],[Clicks]]</f>
        <v>6.7796610169491525E-2</v>
      </c>
      <c r="K52" s="5">
        <f>Tableau1[[#This Row],[Dépenses (FCFA)]]/Tableau1[[#This Row],[Conversions]]</f>
        <v>1125</v>
      </c>
      <c r="L52" s="5">
        <f>Tableau1[[#This Row],[Revenus (FCFA)]]/Tableau1[[#This Row],[Dépenses (FCFA)]]</f>
        <v>8</v>
      </c>
      <c r="M52" s="5" t="str">
        <f>IF(Tableau1[[#This Row],[ROAS (rentabilité des depenses)]]&gt;'Analyse '!$E$14,"PERFORMANT","SOUS PERFORMANT")</f>
        <v>PERFORMANT</v>
      </c>
    </row>
    <row r="53" spans="1:13" x14ac:dyDescent="0.3">
      <c r="A53" s="3">
        <v>46071</v>
      </c>
      <c r="B53" s="4" t="s">
        <v>7</v>
      </c>
      <c r="C53" s="4">
        <v>13200</v>
      </c>
      <c r="D53" s="4">
        <v>398</v>
      </c>
      <c r="E53" s="4">
        <v>27400</v>
      </c>
      <c r="F53" s="4">
        <v>23</v>
      </c>
      <c r="G53" s="4">
        <v>203000</v>
      </c>
      <c r="H53" s="4">
        <f>Tableau1[[#This Row],[Clicks]]/Tableau1[[#This Row],[Impressions]]</f>
        <v>3.0151515151515151E-2</v>
      </c>
      <c r="I53" s="4">
        <f>Tableau1[[#This Row],[Dépenses (FCFA)]]/Tableau1[[#This Row],[Clicks]]</f>
        <v>68.844221105527637</v>
      </c>
      <c r="J53" s="4">
        <f>Tableau1[[#This Row],[Conversions]]/Tableau1[[#This Row],[Clicks]]</f>
        <v>5.7788944723618091E-2</v>
      </c>
      <c r="K53" s="5">
        <f>Tableau1[[#This Row],[Dépenses (FCFA)]]/Tableau1[[#This Row],[Conversions]]</f>
        <v>1191.304347826087</v>
      </c>
      <c r="L53" s="5">
        <f>Tableau1[[#This Row],[Revenus (FCFA)]]/Tableau1[[#This Row],[Dépenses (FCFA)]]</f>
        <v>7.4087591240875916</v>
      </c>
      <c r="M53" s="5" t="str">
        <f>IF(Tableau1[[#This Row],[ROAS (rentabilité des depenses)]]&gt;'Analyse '!$E$14,"PERFORMANT","SOUS PERFORMANT")</f>
        <v>SOUS PERFORMANT</v>
      </c>
    </row>
    <row r="54" spans="1:13" x14ac:dyDescent="0.3">
      <c r="A54" s="3">
        <v>46071</v>
      </c>
      <c r="B54" s="4" t="s">
        <v>8</v>
      </c>
      <c r="C54" s="4">
        <v>8950</v>
      </c>
      <c r="D54" s="4">
        <v>455</v>
      </c>
      <c r="E54" s="4">
        <v>34000</v>
      </c>
      <c r="F54" s="4">
        <v>33</v>
      </c>
      <c r="G54" s="4">
        <v>292000</v>
      </c>
      <c r="H54" s="4">
        <f>Tableau1[[#This Row],[Clicks]]/Tableau1[[#This Row],[Impressions]]</f>
        <v>5.0837988826815644E-2</v>
      </c>
      <c r="I54" s="4">
        <f>Tableau1[[#This Row],[Dépenses (FCFA)]]/Tableau1[[#This Row],[Clicks]]</f>
        <v>74.72527472527473</v>
      </c>
      <c r="J54" s="4">
        <f>Tableau1[[#This Row],[Conversions]]/Tableau1[[#This Row],[Clicks]]</f>
        <v>7.2527472527472533E-2</v>
      </c>
      <c r="K54" s="5">
        <f>Tableau1[[#This Row],[Dépenses (FCFA)]]/Tableau1[[#This Row],[Conversions]]</f>
        <v>1030.3030303030303</v>
      </c>
      <c r="L54" s="5">
        <f>Tableau1[[#This Row],[Revenus (FCFA)]]/Tableau1[[#This Row],[Dépenses (FCFA)]]</f>
        <v>8.5882352941176467</v>
      </c>
      <c r="M54" s="5" t="str">
        <f>IF(Tableau1[[#This Row],[ROAS (rentabilité des depenses)]]&gt;'Analyse '!$E$14,"PERFORMANT","SOUS PERFORMANT")</f>
        <v>PERFORMANT</v>
      </c>
    </row>
    <row r="55" spans="1:13" x14ac:dyDescent="0.3">
      <c r="A55" s="3">
        <v>46071</v>
      </c>
      <c r="B55" s="4" t="s">
        <v>9</v>
      </c>
      <c r="C55" s="4">
        <v>10950</v>
      </c>
      <c r="D55" s="4">
        <v>297</v>
      </c>
      <c r="E55" s="4">
        <v>22700</v>
      </c>
      <c r="F55" s="4">
        <v>20</v>
      </c>
      <c r="G55" s="4">
        <v>182000</v>
      </c>
      <c r="H55" s="4">
        <f>Tableau1[[#This Row],[Clicks]]/Tableau1[[#This Row],[Impressions]]</f>
        <v>2.7123287671232878E-2</v>
      </c>
      <c r="I55" s="4">
        <f>Tableau1[[#This Row],[Dépenses (FCFA)]]/Tableau1[[#This Row],[Clicks]]</f>
        <v>76.430976430976429</v>
      </c>
      <c r="J55" s="4">
        <f>Tableau1[[#This Row],[Conversions]]/Tableau1[[#This Row],[Clicks]]</f>
        <v>6.7340067340067339E-2</v>
      </c>
      <c r="K55" s="5">
        <f>Tableau1[[#This Row],[Dépenses (FCFA)]]/Tableau1[[#This Row],[Conversions]]</f>
        <v>1135</v>
      </c>
      <c r="L55" s="5">
        <f>Tableau1[[#This Row],[Revenus (FCFA)]]/Tableau1[[#This Row],[Dépenses (FCFA)]]</f>
        <v>8.0176211453744486</v>
      </c>
      <c r="M55" s="5" t="str">
        <f>IF(Tableau1[[#This Row],[ROAS (rentabilité des depenses)]]&gt;'Analyse '!$E$14,"PERFORMANT","SOUS PERFORMANT")</f>
        <v>PERFORMANT</v>
      </c>
    </row>
    <row r="56" spans="1:13" x14ac:dyDescent="0.3">
      <c r="A56" s="3">
        <v>46072</v>
      </c>
      <c r="B56" s="4" t="s">
        <v>7</v>
      </c>
      <c r="C56" s="4">
        <v>13300</v>
      </c>
      <c r="D56" s="4">
        <v>400</v>
      </c>
      <c r="E56" s="4">
        <v>27600</v>
      </c>
      <c r="F56" s="4">
        <v>24</v>
      </c>
      <c r="G56" s="4">
        <v>205000</v>
      </c>
      <c r="H56" s="4">
        <f>Tableau1[[#This Row],[Clicks]]/Tableau1[[#This Row],[Impressions]]</f>
        <v>3.007518796992481E-2</v>
      </c>
      <c r="I56" s="4">
        <f>Tableau1[[#This Row],[Dépenses (FCFA)]]/Tableau1[[#This Row],[Clicks]]</f>
        <v>69</v>
      </c>
      <c r="J56" s="4">
        <f>Tableau1[[#This Row],[Conversions]]/Tableau1[[#This Row],[Clicks]]</f>
        <v>0.06</v>
      </c>
      <c r="K56" s="5">
        <f>Tableau1[[#This Row],[Dépenses (FCFA)]]/Tableau1[[#This Row],[Conversions]]</f>
        <v>1150</v>
      </c>
      <c r="L56" s="5">
        <f>Tableau1[[#This Row],[Revenus (FCFA)]]/Tableau1[[#This Row],[Dépenses (FCFA)]]</f>
        <v>7.4275362318840576</v>
      </c>
      <c r="M56" s="5" t="str">
        <f>IF(Tableau1[[#This Row],[ROAS (rentabilité des depenses)]]&gt;'Analyse '!$E$14,"PERFORMANT","SOUS PERFORMANT")</f>
        <v>SOUS PERFORMANT</v>
      </c>
    </row>
    <row r="57" spans="1:13" x14ac:dyDescent="0.3">
      <c r="A57" s="3">
        <v>46072</v>
      </c>
      <c r="B57" s="4" t="s">
        <v>8</v>
      </c>
      <c r="C57" s="4">
        <v>9000</v>
      </c>
      <c r="D57" s="4">
        <v>458</v>
      </c>
      <c r="E57" s="4">
        <v>34300</v>
      </c>
      <c r="F57" s="4">
        <v>34</v>
      </c>
      <c r="G57" s="4">
        <v>295000</v>
      </c>
      <c r="H57" s="4">
        <f>Tableau1[[#This Row],[Clicks]]/Tableau1[[#This Row],[Impressions]]</f>
        <v>5.0888888888888886E-2</v>
      </c>
      <c r="I57" s="4">
        <f>Tableau1[[#This Row],[Dépenses (FCFA)]]/Tableau1[[#This Row],[Clicks]]</f>
        <v>74.890829694323145</v>
      </c>
      <c r="J57" s="4">
        <f>Tableau1[[#This Row],[Conversions]]/Tableau1[[#This Row],[Clicks]]</f>
        <v>7.4235807860262015E-2</v>
      </c>
      <c r="K57" s="5">
        <f>Tableau1[[#This Row],[Dépenses (FCFA)]]/Tableau1[[#This Row],[Conversions]]</f>
        <v>1008.8235294117648</v>
      </c>
      <c r="L57" s="5">
        <f>Tableau1[[#This Row],[Revenus (FCFA)]]/Tableau1[[#This Row],[Dépenses (FCFA)]]</f>
        <v>8.6005830903790095</v>
      </c>
      <c r="M57" s="5" t="str">
        <f>IF(Tableau1[[#This Row],[ROAS (rentabilité des depenses)]]&gt;'Analyse '!$E$14,"PERFORMANT","SOUS PERFORMANT")</f>
        <v>PERFORMANT</v>
      </c>
    </row>
    <row r="58" spans="1:13" x14ac:dyDescent="0.3">
      <c r="A58" s="3">
        <v>46072</v>
      </c>
      <c r="B58" s="4" t="s">
        <v>9</v>
      </c>
      <c r="C58" s="4">
        <v>11000</v>
      </c>
      <c r="D58" s="4">
        <v>300</v>
      </c>
      <c r="E58" s="4">
        <v>22800</v>
      </c>
      <c r="F58" s="4">
        <v>20</v>
      </c>
      <c r="G58" s="4">
        <v>184000</v>
      </c>
      <c r="H58" s="4">
        <f>Tableau1[[#This Row],[Clicks]]/Tableau1[[#This Row],[Impressions]]</f>
        <v>2.7272727272727271E-2</v>
      </c>
      <c r="I58" s="4">
        <f>Tableau1[[#This Row],[Dépenses (FCFA)]]/Tableau1[[#This Row],[Clicks]]</f>
        <v>76</v>
      </c>
      <c r="J58" s="4">
        <f>Tableau1[[#This Row],[Conversions]]/Tableau1[[#This Row],[Clicks]]</f>
        <v>6.6666666666666666E-2</v>
      </c>
      <c r="K58" s="5">
        <f>Tableau1[[#This Row],[Dépenses (FCFA)]]/Tableau1[[#This Row],[Conversions]]</f>
        <v>1140</v>
      </c>
      <c r="L58" s="5">
        <f>Tableau1[[#This Row],[Revenus (FCFA)]]/Tableau1[[#This Row],[Dépenses (FCFA)]]</f>
        <v>8.0701754385964914</v>
      </c>
      <c r="M58" s="5" t="str">
        <f>IF(Tableau1[[#This Row],[ROAS (rentabilité des depenses)]]&gt;'Analyse '!$E$14,"PERFORMANT","SOUS PERFORMANT")</f>
        <v>PERFORMANT</v>
      </c>
    </row>
    <row r="59" spans="1:13" x14ac:dyDescent="0.3">
      <c r="A59" s="3">
        <v>46073</v>
      </c>
      <c r="B59" s="4" t="s">
        <v>7</v>
      </c>
      <c r="C59" s="4">
        <v>13400</v>
      </c>
      <c r="D59" s="4">
        <v>403</v>
      </c>
      <c r="E59" s="4">
        <v>27800</v>
      </c>
      <c r="F59" s="4">
        <v>24</v>
      </c>
      <c r="G59" s="4">
        <v>207000</v>
      </c>
      <c r="H59" s="4">
        <f>Tableau1[[#This Row],[Clicks]]/Tableau1[[#This Row],[Impressions]]</f>
        <v>3.0074626865671642E-2</v>
      </c>
      <c r="I59" s="4">
        <f>Tableau1[[#This Row],[Dépenses (FCFA)]]/Tableau1[[#This Row],[Clicks]]</f>
        <v>68.982630272952861</v>
      </c>
      <c r="J59" s="4">
        <f>Tableau1[[#This Row],[Conversions]]/Tableau1[[#This Row],[Clicks]]</f>
        <v>5.9553349875930521E-2</v>
      </c>
      <c r="K59" s="5">
        <f>Tableau1[[#This Row],[Dépenses (FCFA)]]/Tableau1[[#This Row],[Conversions]]</f>
        <v>1158.3333333333333</v>
      </c>
      <c r="L59" s="5">
        <f>Tableau1[[#This Row],[Revenus (FCFA)]]/Tableau1[[#This Row],[Dépenses (FCFA)]]</f>
        <v>7.4460431654676258</v>
      </c>
      <c r="M59" s="5" t="str">
        <f>IF(Tableau1[[#This Row],[ROAS (rentabilité des depenses)]]&gt;'Analyse '!$E$14,"PERFORMANT","SOUS PERFORMANT")</f>
        <v>SOUS PERFORMANT</v>
      </c>
    </row>
    <row r="60" spans="1:13" x14ac:dyDescent="0.3">
      <c r="A60" s="3">
        <v>46073</v>
      </c>
      <c r="B60" s="4" t="s">
        <v>8</v>
      </c>
      <c r="C60" s="4">
        <v>9050</v>
      </c>
      <c r="D60" s="4">
        <v>460</v>
      </c>
      <c r="E60" s="4">
        <v>34500</v>
      </c>
      <c r="F60" s="4">
        <v>34</v>
      </c>
      <c r="G60" s="4">
        <v>297000</v>
      </c>
      <c r="H60" s="4">
        <f>Tableau1[[#This Row],[Clicks]]/Tableau1[[#This Row],[Impressions]]</f>
        <v>5.0828729281767959E-2</v>
      </c>
      <c r="I60" s="4">
        <f>Tableau1[[#This Row],[Dépenses (FCFA)]]/Tableau1[[#This Row],[Clicks]]</f>
        <v>75</v>
      </c>
      <c r="J60" s="4">
        <f>Tableau1[[#This Row],[Conversions]]/Tableau1[[#This Row],[Clicks]]</f>
        <v>7.3913043478260873E-2</v>
      </c>
      <c r="K60" s="5">
        <f>Tableau1[[#This Row],[Dépenses (FCFA)]]/Tableau1[[#This Row],[Conversions]]</f>
        <v>1014.7058823529412</v>
      </c>
      <c r="L60" s="5">
        <f>Tableau1[[#This Row],[Revenus (FCFA)]]/Tableau1[[#This Row],[Dépenses (FCFA)]]</f>
        <v>8.6086956521739122</v>
      </c>
      <c r="M60" s="5" t="str">
        <f>IF(Tableau1[[#This Row],[ROAS (rentabilité des depenses)]]&gt;'Analyse '!$E$14,"PERFORMANT","SOUS PERFORMANT")</f>
        <v>PERFORMANT</v>
      </c>
    </row>
    <row r="61" spans="1:13" x14ac:dyDescent="0.3">
      <c r="A61" s="3">
        <v>46073</v>
      </c>
      <c r="B61" s="4" t="s">
        <v>9</v>
      </c>
      <c r="C61" s="4">
        <v>11050</v>
      </c>
      <c r="D61" s="4">
        <v>302</v>
      </c>
      <c r="E61" s="4">
        <v>23000</v>
      </c>
      <c r="F61" s="4">
        <v>21</v>
      </c>
      <c r="G61" s="4">
        <v>185000</v>
      </c>
      <c r="H61" s="4">
        <f>Tableau1[[#This Row],[Clicks]]/Tableau1[[#This Row],[Impressions]]</f>
        <v>2.7330316742081449E-2</v>
      </c>
      <c r="I61" s="4">
        <f>Tableau1[[#This Row],[Dépenses (FCFA)]]/Tableau1[[#This Row],[Clicks]]</f>
        <v>76.158940397350989</v>
      </c>
      <c r="J61" s="4">
        <f>Tableau1[[#This Row],[Conversions]]/Tableau1[[#This Row],[Clicks]]</f>
        <v>6.9536423841059597E-2</v>
      </c>
      <c r="K61" s="5">
        <f>Tableau1[[#This Row],[Dépenses (FCFA)]]/Tableau1[[#This Row],[Conversions]]</f>
        <v>1095.2380952380952</v>
      </c>
      <c r="L61" s="5">
        <f>Tableau1[[#This Row],[Revenus (FCFA)]]/Tableau1[[#This Row],[Dépenses (FCFA)]]</f>
        <v>8.0434782608695645</v>
      </c>
      <c r="M61" s="5" t="str">
        <f>IF(Tableau1[[#This Row],[ROAS (rentabilité des depenses)]]&gt;'Analyse '!$E$14,"PERFORMANT","SOUS PERFORMANT")</f>
        <v>PERFORMANT</v>
      </c>
    </row>
    <row r="62" spans="1:13" x14ac:dyDescent="0.3">
      <c r="A62" s="3">
        <v>46074</v>
      </c>
      <c r="B62" s="4" t="s">
        <v>7</v>
      </c>
      <c r="C62" s="4">
        <v>13500</v>
      </c>
      <c r="D62" s="4">
        <v>405</v>
      </c>
      <c r="E62" s="4">
        <v>28000</v>
      </c>
      <c r="F62" s="4">
        <v>25</v>
      </c>
      <c r="G62" s="4">
        <v>210000</v>
      </c>
      <c r="H62" s="4">
        <f>Tableau1[[#This Row],[Clicks]]/Tableau1[[#This Row],[Impressions]]</f>
        <v>0.03</v>
      </c>
      <c r="I62" s="4">
        <f>Tableau1[[#This Row],[Dépenses (FCFA)]]/Tableau1[[#This Row],[Clicks]]</f>
        <v>69.135802469135797</v>
      </c>
      <c r="J62" s="4">
        <f>Tableau1[[#This Row],[Conversions]]/Tableau1[[#This Row],[Clicks]]</f>
        <v>6.1728395061728392E-2</v>
      </c>
      <c r="K62" s="5">
        <f>Tableau1[[#This Row],[Dépenses (FCFA)]]/Tableau1[[#This Row],[Conversions]]</f>
        <v>1120</v>
      </c>
      <c r="L62" s="5">
        <f>Tableau1[[#This Row],[Revenus (FCFA)]]/Tableau1[[#This Row],[Dépenses (FCFA)]]</f>
        <v>7.5</v>
      </c>
      <c r="M62" s="5" t="str">
        <f>IF(Tableau1[[#This Row],[ROAS (rentabilité des depenses)]]&gt;'Analyse '!$E$14,"PERFORMANT","SOUS PERFORMANT")</f>
        <v>SOUS PERFORMANT</v>
      </c>
    </row>
    <row r="63" spans="1:13" x14ac:dyDescent="0.3">
      <c r="A63" s="3">
        <v>46074</v>
      </c>
      <c r="B63" s="4" t="s">
        <v>8</v>
      </c>
      <c r="C63" s="4">
        <v>9100</v>
      </c>
      <c r="D63" s="4">
        <v>463</v>
      </c>
      <c r="E63" s="4">
        <v>34800</v>
      </c>
      <c r="F63" s="4">
        <v>35</v>
      </c>
      <c r="G63" s="4">
        <v>300000</v>
      </c>
      <c r="H63" s="4">
        <f>Tableau1[[#This Row],[Clicks]]/Tableau1[[#This Row],[Impressions]]</f>
        <v>5.087912087912088E-2</v>
      </c>
      <c r="I63" s="4">
        <f>Tableau1[[#This Row],[Dépenses (FCFA)]]/Tableau1[[#This Row],[Clicks]]</f>
        <v>75.161987041036724</v>
      </c>
      <c r="J63" s="4">
        <f>Tableau1[[#This Row],[Conversions]]/Tableau1[[#This Row],[Clicks]]</f>
        <v>7.5593952483801297E-2</v>
      </c>
      <c r="K63" s="5">
        <f>Tableau1[[#This Row],[Dépenses (FCFA)]]/Tableau1[[#This Row],[Conversions]]</f>
        <v>994.28571428571433</v>
      </c>
      <c r="L63" s="5">
        <f>Tableau1[[#This Row],[Revenus (FCFA)]]/Tableau1[[#This Row],[Dépenses (FCFA)]]</f>
        <v>8.6206896551724146</v>
      </c>
      <c r="M63" s="5" t="str">
        <f>IF(Tableau1[[#This Row],[ROAS (rentabilité des depenses)]]&gt;'Analyse '!$E$14,"PERFORMANT","SOUS PERFORMANT")</f>
        <v>PERFORMANT</v>
      </c>
    </row>
    <row r="64" spans="1:13" x14ac:dyDescent="0.3">
      <c r="A64" s="3">
        <v>46074</v>
      </c>
      <c r="B64" s="4" t="s">
        <v>9</v>
      </c>
      <c r="C64" s="4">
        <v>11100</v>
      </c>
      <c r="D64" s="4">
        <v>305</v>
      </c>
      <c r="E64" s="4">
        <v>23200</v>
      </c>
      <c r="F64" s="4">
        <v>21</v>
      </c>
      <c r="G64" s="4">
        <v>187000</v>
      </c>
      <c r="H64" s="4">
        <f>Tableau1[[#This Row],[Clicks]]/Tableau1[[#This Row],[Impressions]]</f>
        <v>2.7477477477477478E-2</v>
      </c>
      <c r="I64" s="4">
        <f>Tableau1[[#This Row],[Dépenses (FCFA)]]/Tableau1[[#This Row],[Clicks]]</f>
        <v>76.06557377049181</v>
      </c>
      <c r="J64" s="4">
        <f>Tableau1[[#This Row],[Conversions]]/Tableau1[[#This Row],[Clicks]]</f>
        <v>6.8852459016393447E-2</v>
      </c>
      <c r="K64" s="5">
        <f>Tableau1[[#This Row],[Dépenses (FCFA)]]/Tableau1[[#This Row],[Conversions]]</f>
        <v>1104.7619047619048</v>
      </c>
      <c r="L64" s="5">
        <f>Tableau1[[#This Row],[Revenus (FCFA)]]/Tableau1[[#This Row],[Dépenses (FCFA)]]</f>
        <v>8.0603448275862064</v>
      </c>
      <c r="M64" s="5" t="str">
        <f>IF(Tableau1[[#This Row],[ROAS (rentabilité des depenses)]]&gt;'Analyse '!$E$14,"PERFORMANT","SOUS PERFORMANT")</f>
        <v>PERFORMANT</v>
      </c>
    </row>
    <row r="65" spans="1:13" x14ac:dyDescent="0.3">
      <c r="A65" s="3">
        <v>46075</v>
      </c>
      <c r="B65" s="4" t="s">
        <v>7</v>
      </c>
      <c r="C65" s="4">
        <v>13600</v>
      </c>
      <c r="D65" s="4">
        <v>408</v>
      </c>
      <c r="E65" s="4">
        <v>28200</v>
      </c>
      <c r="F65" s="4">
        <v>25</v>
      </c>
      <c r="G65" s="4">
        <v>212000</v>
      </c>
      <c r="H65" s="4">
        <f>Tableau1[[#This Row],[Clicks]]/Tableau1[[#This Row],[Impressions]]</f>
        <v>0.03</v>
      </c>
      <c r="I65" s="4">
        <f>Tableau1[[#This Row],[Dépenses (FCFA)]]/Tableau1[[#This Row],[Clicks]]</f>
        <v>69.117647058823536</v>
      </c>
      <c r="J65" s="4">
        <f>Tableau1[[#This Row],[Conversions]]/Tableau1[[#This Row],[Clicks]]</f>
        <v>6.1274509803921566E-2</v>
      </c>
      <c r="K65" s="5">
        <f>Tableau1[[#This Row],[Dépenses (FCFA)]]/Tableau1[[#This Row],[Conversions]]</f>
        <v>1128</v>
      </c>
      <c r="L65" s="5">
        <f>Tableau1[[#This Row],[Revenus (FCFA)]]/Tableau1[[#This Row],[Dépenses (FCFA)]]</f>
        <v>7.5177304964539005</v>
      </c>
      <c r="M65" s="5" t="str">
        <f>IF(Tableau1[[#This Row],[ROAS (rentabilité des depenses)]]&gt;'Analyse '!$E$14,"PERFORMANT","SOUS PERFORMANT")</f>
        <v>SOUS PERFORMANT</v>
      </c>
    </row>
    <row r="66" spans="1:13" x14ac:dyDescent="0.3">
      <c r="A66" s="3">
        <v>46075</v>
      </c>
      <c r="B66" s="4" t="s">
        <v>8</v>
      </c>
      <c r="C66" s="4">
        <v>9150</v>
      </c>
      <c r="D66" s="4">
        <v>465</v>
      </c>
      <c r="E66" s="4">
        <v>35000</v>
      </c>
      <c r="F66" s="4">
        <v>35</v>
      </c>
      <c r="G66" s="4">
        <v>302000</v>
      </c>
      <c r="H66" s="4">
        <f>Tableau1[[#This Row],[Clicks]]/Tableau1[[#This Row],[Impressions]]</f>
        <v>5.0819672131147541E-2</v>
      </c>
      <c r="I66" s="4">
        <f>Tableau1[[#This Row],[Dépenses (FCFA)]]/Tableau1[[#This Row],[Clicks]]</f>
        <v>75.268817204301072</v>
      </c>
      <c r="J66" s="4">
        <f>Tableau1[[#This Row],[Conversions]]/Tableau1[[#This Row],[Clicks]]</f>
        <v>7.5268817204301078E-2</v>
      </c>
      <c r="K66" s="5">
        <f>Tableau1[[#This Row],[Dépenses (FCFA)]]/Tableau1[[#This Row],[Conversions]]</f>
        <v>1000</v>
      </c>
      <c r="L66" s="5">
        <f>Tableau1[[#This Row],[Revenus (FCFA)]]/Tableau1[[#This Row],[Dépenses (FCFA)]]</f>
        <v>8.6285714285714281</v>
      </c>
      <c r="M66" s="5" t="str">
        <f>IF(Tableau1[[#This Row],[ROAS (rentabilité des depenses)]]&gt;'Analyse '!$E$14,"PERFORMANT","SOUS PERFORMANT")</f>
        <v>PERFORMANT</v>
      </c>
    </row>
    <row r="67" spans="1:13" x14ac:dyDescent="0.3">
      <c r="A67" s="3">
        <v>46075</v>
      </c>
      <c r="B67" s="4" t="s">
        <v>9</v>
      </c>
      <c r="C67" s="4">
        <v>11150</v>
      </c>
      <c r="D67" s="4">
        <v>307</v>
      </c>
      <c r="E67" s="4">
        <v>23400</v>
      </c>
      <c r="F67" s="4">
        <v>22</v>
      </c>
      <c r="G67" s="4">
        <v>189000</v>
      </c>
      <c r="H67" s="4">
        <f>Tableau1[[#This Row],[Clicks]]/Tableau1[[#This Row],[Impressions]]</f>
        <v>2.7533632286995516E-2</v>
      </c>
      <c r="I67" s="4">
        <f>Tableau1[[#This Row],[Dépenses (FCFA)]]/Tableau1[[#This Row],[Clicks]]</f>
        <v>76.2214983713355</v>
      </c>
      <c r="J67" s="4">
        <f>Tableau1[[#This Row],[Conversions]]/Tableau1[[#This Row],[Clicks]]</f>
        <v>7.1661237785016291E-2</v>
      </c>
      <c r="K67" s="5">
        <f>Tableau1[[#This Row],[Dépenses (FCFA)]]/Tableau1[[#This Row],[Conversions]]</f>
        <v>1063.6363636363637</v>
      </c>
      <c r="L67" s="5">
        <f>Tableau1[[#This Row],[Revenus (FCFA)]]/Tableau1[[#This Row],[Dépenses (FCFA)]]</f>
        <v>8.0769230769230766</v>
      </c>
      <c r="M67" s="5" t="str">
        <f>IF(Tableau1[[#This Row],[ROAS (rentabilité des depenses)]]&gt;'Analyse '!$E$14,"PERFORMANT","SOUS PERFORMANT")</f>
        <v>PERFORMANT</v>
      </c>
    </row>
    <row r="68" spans="1:13" x14ac:dyDescent="0.3">
      <c r="A68" s="3">
        <v>46076</v>
      </c>
      <c r="B68" s="4" t="s">
        <v>7</v>
      </c>
      <c r="C68" s="4">
        <v>13700</v>
      </c>
      <c r="D68" s="4">
        <v>410</v>
      </c>
      <c r="E68" s="4">
        <v>28400</v>
      </c>
      <c r="F68" s="4">
        <v>26</v>
      </c>
      <c r="G68" s="4">
        <v>215000</v>
      </c>
      <c r="H68" s="4">
        <f>Tableau1[[#This Row],[Clicks]]/Tableau1[[#This Row],[Impressions]]</f>
        <v>2.9927007299270073E-2</v>
      </c>
      <c r="I68" s="4">
        <f>Tableau1[[#This Row],[Dépenses (FCFA)]]/Tableau1[[#This Row],[Clicks]]</f>
        <v>69.268292682926827</v>
      </c>
      <c r="J68" s="4">
        <f>Tableau1[[#This Row],[Conversions]]/Tableau1[[#This Row],[Clicks]]</f>
        <v>6.3414634146341464E-2</v>
      </c>
      <c r="K68" s="5">
        <f>Tableau1[[#This Row],[Dépenses (FCFA)]]/Tableau1[[#This Row],[Conversions]]</f>
        <v>1092.3076923076924</v>
      </c>
      <c r="L68" s="5">
        <f>Tableau1[[#This Row],[Revenus (FCFA)]]/Tableau1[[#This Row],[Dépenses (FCFA)]]</f>
        <v>7.570422535211268</v>
      </c>
      <c r="M68" s="5" t="str">
        <f>IF(Tableau1[[#This Row],[ROAS (rentabilité des depenses)]]&gt;'Analyse '!$E$14,"PERFORMANT","SOUS PERFORMANT")</f>
        <v>SOUS PERFORMANT</v>
      </c>
    </row>
    <row r="69" spans="1:13" x14ac:dyDescent="0.3">
      <c r="A69" s="3">
        <v>46076</v>
      </c>
      <c r="B69" s="4" t="s">
        <v>8</v>
      </c>
      <c r="C69" s="4">
        <v>9200</v>
      </c>
      <c r="D69" s="4">
        <v>468</v>
      </c>
      <c r="E69" s="4">
        <v>35300</v>
      </c>
      <c r="F69" s="4">
        <v>36</v>
      </c>
      <c r="G69" s="4">
        <v>305000</v>
      </c>
      <c r="H69" s="4">
        <f>Tableau1[[#This Row],[Clicks]]/Tableau1[[#This Row],[Impressions]]</f>
        <v>5.0869565217391305E-2</v>
      </c>
      <c r="I69" s="4">
        <f>Tableau1[[#This Row],[Dépenses (FCFA)]]/Tableau1[[#This Row],[Clicks]]</f>
        <v>75.427350427350433</v>
      </c>
      <c r="J69" s="4">
        <f>Tableau1[[#This Row],[Conversions]]/Tableau1[[#This Row],[Clicks]]</f>
        <v>7.6923076923076927E-2</v>
      </c>
      <c r="K69" s="5">
        <f>Tableau1[[#This Row],[Dépenses (FCFA)]]/Tableau1[[#This Row],[Conversions]]</f>
        <v>980.55555555555554</v>
      </c>
      <c r="L69" s="5">
        <f>Tableau1[[#This Row],[Revenus (FCFA)]]/Tableau1[[#This Row],[Dépenses (FCFA)]]</f>
        <v>8.640226628895185</v>
      </c>
      <c r="M69" s="5" t="str">
        <f>IF(Tableau1[[#This Row],[ROAS (rentabilité des depenses)]]&gt;'Analyse '!$E$14,"PERFORMANT","SOUS PERFORMANT")</f>
        <v>PERFORMANT</v>
      </c>
    </row>
    <row r="70" spans="1:13" x14ac:dyDescent="0.3">
      <c r="A70" s="3">
        <v>46076</v>
      </c>
      <c r="B70" s="4" t="s">
        <v>9</v>
      </c>
      <c r="C70" s="4">
        <v>11200</v>
      </c>
      <c r="D70" s="4">
        <v>310</v>
      </c>
      <c r="E70" s="4">
        <v>23600</v>
      </c>
      <c r="F70" s="4">
        <v>22</v>
      </c>
      <c r="G70" s="4">
        <v>191000</v>
      </c>
      <c r="H70" s="4">
        <f>Tableau1[[#This Row],[Clicks]]/Tableau1[[#This Row],[Impressions]]</f>
        <v>2.7678571428571427E-2</v>
      </c>
      <c r="I70" s="4">
        <f>Tableau1[[#This Row],[Dépenses (FCFA)]]/Tableau1[[#This Row],[Clicks]]</f>
        <v>76.129032258064512</v>
      </c>
      <c r="J70" s="4">
        <f>Tableau1[[#This Row],[Conversions]]/Tableau1[[#This Row],[Clicks]]</f>
        <v>7.0967741935483872E-2</v>
      </c>
      <c r="K70" s="5">
        <f>Tableau1[[#This Row],[Dépenses (FCFA)]]/Tableau1[[#This Row],[Conversions]]</f>
        <v>1072.7272727272727</v>
      </c>
      <c r="L70" s="5">
        <f>Tableau1[[#This Row],[Revenus (FCFA)]]/Tableau1[[#This Row],[Dépenses (FCFA)]]</f>
        <v>8.0932203389830502</v>
      </c>
      <c r="M70" s="5" t="str">
        <f>IF(Tableau1[[#This Row],[ROAS (rentabilité des depenses)]]&gt;'Analyse '!$E$14,"PERFORMANT","SOUS PERFORMANT")</f>
        <v>PERFORMANT</v>
      </c>
    </row>
    <row r="71" spans="1:13" x14ac:dyDescent="0.3">
      <c r="A71" s="3">
        <v>46077</v>
      </c>
      <c r="B71" s="4" t="s">
        <v>7</v>
      </c>
      <c r="C71" s="4">
        <v>13800</v>
      </c>
      <c r="D71" s="4">
        <v>413</v>
      </c>
      <c r="E71" s="4">
        <v>28600</v>
      </c>
      <c r="F71" s="4">
        <v>26</v>
      </c>
      <c r="G71" s="4">
        <v>217000</v>
      </c>
      <c r="H71" s="4">
        <f>Tableau1[[#This Row],[Clicks]]/Tableau1[[#This Row],[Impressions]]</f>
        <v>2.9927536231884058E-2</v>
      </c>
      <c r="I71" s="4">
        <f>Tableau1[[#This Row],[Dépenses (FCFA)]]/Tableau1[[#This Row],[Clicks]]</f>
        <v>69.24939467312349</v>
      </c>
      <c r="J71" s="4">
        <f>Tableau1[[#This Row],[Conversions]]/Tableau1[[#This Row],[Clicks]]</f>
        <v>6.2953995157384993E-2</v>
      </c>
      <c r="K71" s="5">
        <f>Tableau1[[#This Row],[Dépenses (FCFA)]]/Tableau1[[#This Row],[Conversions]]</f>
        <v>1100</v>
      </c>
      <c r="L71" s="5">
        <f>Tableau1[[#This Row],[Revenus (FCFA)]]/Tableau1[[#This Row],[Dépenses (FCFA)]]</f>
        <v>7.5874125874125875</v>
      </c>
      <c r="M71" s="5" t="str">
        <f>IF(Tableau1[[#This Row],[ROAS (rentabilité des depenses)]]&gt;'Analyse '!$E$14,"PERFORMANT","SOUS PERFORMANT")</f>
        <v>SOUS PERFORMANT</v>
      </c>
    </row>
    <row r="72" spans="1:13" x14ac:dyDescent="0.3">
      <c r="A72" s="3">
        <v>46077</v>
      </c>
      <c r="B72" s="4" t="s">
        <v>8</v>
      </c>
      <c r="C72" s="4">
        <v>9250</v>
      </c>
      <c r="D72" s="4">
        <v>470</v>
      </c>
      <c r="E72" s="4">
        <v>35500</v>
      </c>
      <c r="F72" s="4">
        <v>36</v>
      </c>
      <c r="G72" s="4">
        <v>307000</v>
      </c>
      <c r="H72" s="4">
        <f>Tableau1[[#This Row],[Clicks]]/Tableau1[[#This Row],[Impressions]]</f>
        <v>5.0810810810810812E-2</v>
      </c>
      <c r="I72" s="4">
        <f>Tableau1[[#This Row],[Dépenses (FCFA)]]/Tableau1[[#This Row],[Clicks]]</f>
        <v>75.531914893617028</v>
      </c>
      <c r="J72" s="4">
        <f>Tableau1[[#This Row],[Conversions]]/Tableau1[[#This Row],[Clicks]]</f>
        <v>7.6595744680851063E-2</v>
      </c>
      <c r="K72" s="5">
        <f>Tableau1[[#This Row],[Dépenses (FCFA)]]/Tableau1[[#This Row],[Conversions]]</f>
        <v>986.11111111111109</v>
      </c>
      <c r="L72" s="5">
        <f>Tableau1[[#This Row],[Revenus (FCFA)]]/Tableau1[[#This Row],[Dépenses (FCFA)]]</f>
        <v>8.647887323943662</v>
      </c>
      <c r="M72" s="5" t="str">
        <f>IF(Tableau1[[#This Row],[ROAS (rentabilité des depenses)]]&gt;'Analyse '!$E$14,"PERFORMANT","SOUS PERFORMANT")</f>
        <v>PERFORMANT</v>
      </c>
    </row>
    <row r="73" spans="1:13" x14ac:dyDescent="0.3">
      <c r="A73" s="3">
        <v>46077</v>
      </c>
      <c r="B73" s="4" t="s">
        <v>9</v>
      </c>
      <c r="C73" s="4">
        <v>11250</v>
      </c>
      <c r="D73" s="4">
        <v>312</v>
      </c>
      <c r="E73" s="4">
        <v>23800</v>
      </c>
      <c r="F73" s="4">
        <v>22</v>
      </c>
      <c r="G73" s="4">
        <v>193000</v>
      </c>
      <c r="H73" s="4">
        <f>Tableau1[[#This Row],[Clicks]]/Tableau1[[#This Row],[Impressions]]</f>
        <v>2.7733333333333332E-2</v>
      </c>
      <c r="I73" s="4">
        <f>Tableau1[[#This Row],[Dépenses (FCFA)]]/Tableau1[[#This Row],[Clicks]]</f>
        <v>76.282051282051285</v>
      </c>
      <c r="J73" s="4">
        <f>Tableau1[[#This Row],[Conversions]]/Tableau1[[#This Row],[Clicks]]</f>
        <v>7.0512820512820512E-2</v>
      </c>
      <c r="K73" s="5">
        <f>Tableau1[[#This Row],[Dépenses (FCFA)]]/Tableau1[[#This Row],[Conversions]]</f>
        <v>1081.8181818181818</v>
      </c>
      <c r="L73" s="5">
        <f>Tableau1[[#This Row],[Revenus (FCFA)]]/Tableau1[[#This Row],[Dépenses (FCFA)]]</f>
        <v>8.1092436974789912</v>
      </c>
      <c r="M73" s="5" t="str">
        <f>IF(Tableau1[[#This Row],[ROAS (rentabilité des depenses)]]&gt;'Analyse '!$E$14,"PERFORMANT","SOUS PERFORMANT")</f>
        <v>PERFORMANT</v>
      </c>
    </row>
    <row r="74" spans="1:13" x14ac:dyDescent="0.3">
      <c r="A74" s="3">
        <v>46078</v>
      </c>
      <c r="B74" s="4" t="s">
        <v>7</v>
      </c>
      <c r="C74" s="4">
        <v>13900</v>
      </c>
      <c r="D74" s="4">
        <v>415</v>
      </c>
      <c r="E74" s="4">
        <v>28800</v>
      </c>
      <c r="F74" s="4">
        <v>27</v>
      </c>
      <c r="G74" s="4">
        <v>220000</v>
      </c>
      <c r="H74" s="4">
        <f>Tableau1[[#This Row],[Clicks]]/Tableau1[[#This Row],[Impressions]]</f>
        <v>2.985611510791367E-2</v>
      </c>
      <c r="I74" s="4">
        <f>Tableau1[[#This Row],[Dépenses (FCFA)]]/Tableau1[[#This Row],[Clicks]]</f>
        <v>69.397590361445779</v>
      </c>
      <c r="J74" s="4">
        <f>Tableau1[[#This Row],[Conversions]]/Tableau1[[#This Row],[Clicks]]</f>
        <v>6.5060240963855417E-2</v>
      </c>
      <c r="K74" s="5">
        <f>Tableau1[[#This Row],[Dépenses (FCFA)]]/Tableau1[[#This Row],[Conversions]]</f>
        <v>1066.6666666666667</v>
      </c>
      <c r="L74" s="5">
        <f>Tableau1[[#This Row],[Revenus (FCFA)]]/Tableau1[[#This Row],[Dépenses (FCFA)]]</f>
        <v>7.6388888888888893</v>
      </c>
      <c r="M74" s="5" t="str">
        <f>IF(Tableau1[[#This Row],[ROAS (rentabilité des depenses)]]&gt;'Analyse '!$E$14,"PERFORMANT","SOUS PERFORMANT")</f>
        <v>SOUS PERFORMANT</v>
      </c>
    </row>
    <row r="75" spans="1:13" x14ac:dyDescent="0.3">
      <c r="A75" s="3">
        <v>46078</v>
      </c>
      <c r="B75" s="4" t="s">
        <v>8</v>
      </c>
      <c r="C75" s="4">
        <v>9300</v>
      </c>
      <c r="D75" s="4">
        <v>473</v>
      </c>
      <c r="E75" s="4">
        <v>35800</v>
      </c>
      <c r="F75" s="4">
        <v>37</v>
      </c>
      <c r="G75" s="4">
        <v>310000</v>
      </c>
      <c r="H75" s="4">
        <f>Tableau1[[#This Row],[Clicks]]/Tableau1[[#This Row],[Impressions]]</f>
        <v>5.0860215053763438E-2</v>
      </c>
      <c r="I75" s="4">
        <f>Tableau1[[#This Row],[Dépenses (FCFA)]]/Tableau1[[#This Row],[Clicks]]</f>
        <v>75.687103594080341</v>
      </c>
      <c r="J75" s="4">
        <f>Tableau1[[#This Row],[Conversions]]/Tableau1[[#This Row],[Clicks]]</f>
        <v>7.8224101479915431E-2</v>
      </c>
      <c r="K75" s="5">
        <f>Tableau1[[#This Row],[Dépenses (FCFA)]]/Tableau1[[#This Row],[Conversions]]</f>
        <v>967.56756756756761</v>
      </c>
      <c r="L75" s="5">
        <f>Tableau1[[#This Row],[Revenus (FCFA)]]/Tableau1[[#This Row],[Dépenses (FCFA)]]</f>
        <v>8.6592178770949726</v>
      </c>
      <c r="M75" s="5" t="str">
        <f>IF(Tableau1[[#This Row],[ROAS (rentabilité des depenses)]]&gt;'Analyse '!$E$14,"PERFORMANT","SOUS PERFORMANT")</f>
        <v>PERFORMANT</v>
      </c>
    </row>
    <row r="76" spans="1:13" x14ac:dyDescent="0.3">
      <c r="A76" s="3">
        <v>46078</v>
      </c>
      <c r="B76" s="4" t="s">
        <v>9</v>
      </c>
      <c r="C76" s="4">
        <v>11300</v>
      </c>
      <c r="D76" s="4">
        <v>315</v>
      </c>
      <c r="E76" s="4">
        <v>24000</v>
      </c>
      <c r="F76" s="4">
        <v>23</v>
      </c>
      <c r="G76" s="4">
        <v>195000</v>
      </c>
      <c r="H76" s="4">
        <f>Tableau1[[#This Row],[Clicks]]/Tableau1[[#This Row],[Impressions]]</f>
        <v>2.7876106194690265E-2</v>
      </c>
      <c r="I76" s="4">
        <f>Tableau1[[#This Row],[Dépenses (FCFA)]]/Tableau1[[#This Row],[Clicks]]</f>
        <v>76.19047619047619</v>
      </c>
      <c r="J76" s="4">
        <f>Tableau1[[#This Row],[Conversions]]/Tableau1[[#This Row],[Clicks]]</f>
        <v>7.301587301587302E-2</v>
      </c>
      <c r="K76" s="5">
        <f>Tableau1[[#This Row],[Dépenses (FCFA)]]/Tableau1[[#This Row],[Conversions]]</f>
        <v>1043.4782608695652</v>
      </c>
      <c r="L76" s="5">
        <f>Tableau1[[#This Row],[Revenus (FCFA)]]/Tableau1[[#This Row],[Dépenses (FCFA)]]</f>
        <v>8.125</v>
      </c>
      <c r="M76" s="5" t="str">
        <f>IF(Tableau1[[#This Row],[ROAS (rentabilité des depenses)]]&gt;'Analyse '!$E$14,"PERFORMANT","SOUS PERFORMANT")</f>
        <v>PERFORMANT</v>
      </c>
    </row>
    <row r="77" spans="1:13" x14ac:dyDescent="0.3">
      <c r="A77" s="3">
        <v>46079</v>
      </c>
      <c r="B77" s="4" t="s">
        <v>7</v>
      </c>
      <c r="C77" s="4">
        <v>14000</v>
      </c>
      <c r="D77" s="4">
        <v>418</v>
      </c>
      <c r="E77" s="4">
        <v>29000</v>
      </c>
      <c r="F77" s="4">
        <v>27</v>
      </c>
      <c r="G77" s="4">
        <v>222000</v>
      </c>
      <c r="H77" s="4">
        <f>Tableau1[[#This Row],[Clicks]]/Tableau1[[#This Row],[Impressions]]</f>
        <v>2.9857142857142856E-2</v>
      </c>
      <c r="I77" s="4">
        <f>Tableau1[[#This Row],[Dépenses (FCFA)]]/Tableau1[[#This Row],[Clicks]]</f>
        <v>69.377990430622006</v>
      </c>
      <c r="J77" s="4">
        <f>Tableau1[[#This Row],[Conversions]]/Tableau1[[#This Row],[Clicks]]</f>
        <v>6.4593301435406703E-2</v>
      </c>
      <c r="K77" s="5">
        <f>Tableau1[[#This Row],[Dépenses (FCFA)]]/Tableau1[[#This Row],[Conversions]]</f>
        <v>1074.0740740740741</v>
      </c>
      <c r="L77" s="5">
        <f>Tableau1[[#This Row],[Revenus (FCFA)]]/Tableau1[[#This Row],[Dépenses (FCFA)]]</f>
        <v>7.6551724137931032</v>
      </c>
      <c r="M77" s="5" t="str">
        <f>IF(Tableau1[[#This Row],[ROAS (rentabilité des depenses)]]&gt;'Analyse '!$E$14,"PERFORMANT","SOUS PERFORMANT")</f>
        <v>SOUS PERFORMANT</v>
      </c>
    </row>
    <row r="78" spans="1:13" x14ac:dyDescent="0.3">
      <c r="A78" s="3">
        <v>46079</v>
      </c>
      <c r="B78" s="4" t="s">
        <v>8</v>
      </c>
      <c r="C78" s="4">
        <v>9350</v>
      </c>
      <c r="D78" s="4">
        <v>475</v>
      </c>
      <c r="E78" s="4">
        <v>36000</v>
      </c>
      <c r="F78" s="4">
        <v>37</v>
      </c>
      <c r="G78" s="4">
        <v>312000</v>
      </c>
      <c r="H78" s="4">
        <f>Tableau1[[#This Row],[Clicks]]/Tableau1[[#This Row],[Impressions]]</f>
        <v>5.0802139037433157E-2</v>
      </c>
      <c r="I78" s="4">
        <f>Tableau1[[#This Row],[Dépenses (FCFA)]]/Tableau1[[#This Row],[Clicks]]</f>
        <v>75.78947368421052</v>
      </c>
      <c r="J78" s="4">
        <f>Tableau1[[#This Row],[Conversions]]/Tableau1[[#This Row],[Clicks]]</f>
        <v>7.7894736842105267E-2</v>
      </c>
      <c r="K78" s="5">
        <f>Tableau1[[#This Row],[Dépenses (FCFA)]]/Tableau1[[#This Row],[Conversions]]</f>
        <v>972.97297297297303</v>
      </c>
      <c r="L78" s="5">
        <f>Tableau1[[#This Row],[Revenus (FCFA)]]/Tableau1[[#This Row],[Dépenses (FCFA)]]</f>
        <v>8.6666666666666661</v>
      </c>
      <c r="M78" s="5" t="str">
        <f>IF(Tableau1[[#This Row],[ROAS (rentabilité des depenses)]]&gt;'Analyse '!$E$14,"PERFORMANT","SOUS PERFORMANT")</f>
        <v>PERFORMANT</v>
      </c>
    </row>
    <row r="79" spans="1:13" x14ac:dyDescent="0.3">
      <c r="A79" s="3">
        <v>46079</v>
      </c>
      <c r="B79" s="4" t="s">
        <v>9</v>
      </c>
      <c r="C79" s="4">
        <v>11350</v>
      </c>
      <c r="D79" s="4">
        <v>317</v>
      </c>
      <c r="E79" s="4">
        <v>24200</v>
      </c>
      <c r="F79" s="4">
        <v>23</v>
      </c>
      <c r="G79" s="4">
        <v>197000</v>
      </c>
      <c r="H79" s="4">
        <f>Tableau1[[#This Row],[Clicks]]/Tableau1[[#This Row],[Impressions]]</f>
        <v>2.7929515418502204E-2</v>
      </c>
      <c r="I79" s="4">
        <f>Tableau1[[#This Row],[Dépenses (FCFA)]]/Tableau1[[#This Row],[Clicks]]</f>
        <v>76.34069400630915</v>
      </c>
      <c r="J79" s="4">
        <f>Tableau1[[#This Row],[Conversions]]/Tableau1[[#This Row],[Clicks]]</f>
        <v>7.2555205047318619E-2</v>
      </c>
      <c r="K79" s="5">
        <f>Tableau1[[#This Row],[Dépenses (FCFA)]]/Tableau1[[#This Row],[Conversions]]</f>
        <v>1052.1739130434783</v>
      </c>
      <c r="L79" s="5">
        <f>Tableau1[[#This Row],[Revenus (FCFA)]]/Tableau1[[#This Row],[Dépenses (FCFA)]]</f>
        <v>8.1404958677685944</v>
      </c>
      <c r="M79" s="5" t="str">
        <f>IF(Tableau1[[#This Row],[ROAS (rentabilité des depenses)]]&gt;'Analyse '!$E$14,"PERFORMANT","SOUS PERFORMANT")</f>
        <v>PERFORMANT</v>
      </c>
    </row>
    <row r="80" spans="1:13" x14ac:dyDescent="0.3">
      <c r="A80" s="3">
        <v>46080</v>
      </c>
      <c r="B80" s="4" t="s">
        <v>7</v>
      </c>
      <c r="C80" s="4">
        <v>14100</v>
      </c>
      <c r="D80" s="4">
        <v>420</v>
      </c>
      <c r="E80" s="4">
        <v>29200</v>
      </c>
      <c r="F80" s="4">
        <v>28</v>
      </c>
      <c r="G80" s="4">
        <v>225000</v>
      </c>
      <c r="H80" s="4">
        <f>Tableau1[[#This Row],[Clicks]]/Tableau1[[#This Row],[Impressions]]</f>
        <v>2.9787234042553193E-2</v>
      </c>
      <c r="I80" s="4">
        <f>Tableau1[[#This Row],[Dépenses (FCFA)]]/Tableau1[[#This Row],[Clicks]]</f>
        <v>69.523809523809518</v>
      </c>
      <c r="J80" s="4">
        <f>Tableau1[[#This Row],[Conversions]]/Tableau1[[#This Row],[Clicks]]</f>
        <v>6.6666666666666666E-2</v>
      </c>
      <c r="K80" s="5">
        <f>Tableau1[[#This Row],[Dépenses (FCFA)]]/Tableau1[[#This Row],[Conversions]]</f>
        <v>1042.8571428571429</v>
      </c>
      <c r="L80" s="5">
        <f>Tableau1[[#This Row],[Revenus (FCFA)]]/Tableau1[[#This Row],[Dépenses (FCFA)]]</f>
        <v>7.7054794520547949</v>
      </c>
      <c r="M80" s="5" t="str">
        <f>IF(Tableau1[[#This Row],[ROAS (rentabilité des depenses)]]&gt;'Analyse '!$E$14,"PERFORMANT","SOUS PERFORMANT")</f>
        <v>SOUS PERFORMANT</v>
      </c>
    </row>
    <row r="81" spans="1:13" x14ac:dyDescent="0.3">
      <c r="A81" s="3">
        <v>46080</v>
      </c>
      <c r="B81" s="4" t="s">
        <v>8</v>
      </c>
      <c r="C81" s="4">
        <v>9400</v>
      </c>
      <c r="D81" s="4">
        <v>478</v>
      </c>
      <c r="E81" s="4">
        <v>36300</v>
      </c>
      <c r="F81" s="4">
        <v>38</v>
      </c>
      <c r="G81" s="4">
        <v>315000</v>
      </c>
      <c r="H81" s="4">
        <f>Tableau1[[#This Row],[Clicks]]/Tableau1[[#This Row],[Impressions]]</f>
        <v>5.0851063829787234E-2</v>
      </c>
      <c r="I81" s="4">
        <f>Tableau1[[#This Row],[Dépenses (FCFA)]]/Tableau1[[#This Row],[Clicks]]</f>
        <v>75.941422594142253</v>
      </c>
      <c r="J81" s="4">
        <f>Tableau1[[#This Row],[Conversions]]/Tableau1[[#This Row],[Clicks]]</f>
        <v>7.9497907949790794E-2</v>
      </c>
      <c r="K81" s="5">
        <f>Tableau1[[#This Row],[Dépenses (FCFA)]]/Tableau1[[#This Row],[Conversions]]</f>
        <v>955.26315789473688</v>
      </c>
      <c r="L81" s="5">
        <f>Tableau1[[#This Row],[Revenus (FCFA)]]/Tableau1[[#This Row],[Dépenses (FCFA)]]</f>
        <v>8.677685950413224</v>
      </c>
      <c r="M81" s="5" t="str">
        <f>IF(Tableau1[[#This Row],[ROAS (rentabilité des depenses)]]&gt;'Analyse '!$E$14,"PERFORMANT","SOUS PERFORMANT")</f>
        <v>PERFORMANT</v>
      </c>
    </row>
    <row r="82" spans="1:13" x14ac:dyDescent="0.3">
      <c r="A82" s="3">
        <v>46080</v>
      </c>
      <c r="B82" s="4" t="s">
        <v>9</v>
      </c>
      <c r="C82" s="4">
        <v>11400</v>
      </c>
      <c r="D82" s="4">
        <v>320</v>
      </c>
      <c r="E82" s="4">
        <v>24400</v>
      </c>
      <c r="F82" s="4">
        <v>23</v>
      </c>
      <c r="G82" s="4">
        <v>199000</v>
      </c>
      <c r="H82" s="4">
        <f>Tableau1[[#This Row],[Clicks]]/Tableau1[[#This Row],[Impressions]]</f>
        <v>2.8070175438596492E-2</v>
      </c>
      <c r="I82" s="4">
        <f>Tableau1[[#This Row],[Dépenses (FCFA)]]/Tableau1[[#This Row],[Clicks]]</f>
        <v>76.25</v>
      </c>
      <c r="J82" s="4">
        <f>Tableau1[[#This Row],[Conversions]]/Tableau1[[#This Row],[Clicks]]</f>
        <v>7.1874999999999994E-2</v>
      </c>
      <c r="K82" s="5">
        <f>Tableau1[[#This Row],[Dépenses (FCFA)]]/Tableau1[[#This Row],[Conversions]]</f>
        <v>1060.8695652173913</v>
      </c>
      <c r="L82" s="5">
        <f>Tableau1[[#This Row],[Revenus (FCFA)]]/Tableau1[[#This Row],[Dépenses (FCFA)]]</f>
        <v>8.1557377049180335</v>
      </c>
      <c r="M82" s="5" t="str">
        <f>IF(Tableau1[[#This Row],[ROAS (rentabilité des depenses)]]&gt;'Analyse '!$E$14,"PERFORMANT","SOUS PERFORMANT")</f>
        <v>PERFORMANT</v>
      </c>
    </row>
    <row r="83" spans="1:13" x14ac:dyDescent="0.3">
      <c r="A83" s="3">
        <v>46081</v>
      </c>
      <c r="B83" s="4" t="s">
        <v>7</v>
      </c>
      <c r="C83" s="4">
        <v>14200</v>
      </c>
      <c r="D83" s="4">
        <v>423</v>
      </c>
      <c r="E83" s="4">
        <v>29400</v>
      </c>
      <c r="F83" s="4">
        <v>28</v>
      </c>
      <c r="G83" s="4">
        <v>227000</v>
      </c>
      <c r="H83" s="4">
        <f>Tableau1[[#This Row],[Clicks]]/Tableau1[[#This Row],[Impressions]]</f>
        <v>2.9788732394366198E-2</v>
      </c>
      <c r="I83" s="4">
        <f>Tableau1[[#This Row],[Dépenses (FCFA)]]/Tableau1[[#This Row],[Clicks]]</f>
        <v>69.503546099290787</v>
      </c>
      <c r="J83" s="4">
        <f>Tableau1[[#This Row],[Conversions]]/Tableau1[[#This Row],[Clicks]]</f>
        <v>6.6193853427895979E-2</v>
      </c>
      <c r="K83" s="5">
        <f>Tableau1[[#This Row],[Dépenses (FCFA)]]/Tableau1[[#This Row],[Conversions]]</f>
        <v>1050</v>
      </c>
      <c r="L83" s="5">
        <f>Tableau1[[#This Row],[Revenus (FCFA)]]/Tableau1[[#This Row],[Dépenses (FCFA)]]</f>
        <v>7.72108843537415</v>
      </c>
      <c r="M83" s="5" t="str">
        <f>IF(Tableau1[[#This Row],[ROAS (rentabilité des depenses)]]&gt;'Analyse '!$E$14,"PERFORMANT","SOUS PERFORMANT")</f>
        <v>SOUS PERFORMANT</v>
      </c>
    </row>
    <row r="84" spans="1:13" x14ac:dyDescent="0.3">
      <c r="A84" s="3">
        <v>46081</v>
      </c>
      <c r="B84" s="4" t="s">
        <v>8</v>
      </c>
      <c r="C84" s="4">
        <v>9450</v>
      </c>
      <c r="D84" s="4">
        <v>480</v>
      </c>
      <c r="E84" s="4">
        <v>36500</v>
      </c>
      <c r="F84" s="4">
        <v>38</v>
      </c>
      <c r="G84" s="4">
        <v>317000</v>
      </c>
      <c r="H84" s="4">
        <f>Tableau1[[#This Row],[Clicks]]/Tableau1[[#This Row],[Impressions]]</f>
        <v>5.0793650793650794E-2</v>
      </c>
      <c r="I84" s="4">
        <f>Tableau1[[#This Row],[Dépenses (FCFA)]]/Tableau1[[#This Row],[Clicks]]</f>
        <v>76.041666666666671</v>
      </c>
      <c r="J84" s="4">
        <f>Tableau1[[#This Row],[Conversions]]/Tableau1[[#This Row],[Clicks]]</f>
        <v>7.9166666666666663E-2</v>
      </c>
      <c r="K84" s="5">
        <f>Tableau1[[#This Row],[Dépenses (FCFA)]]/Tableau1[[#This Row],[Conversions]]</f>
        <v>960.52631578947364</v>
      </c>
      <c r="L84" s="5">
        <f>Tableau1[[#This Row],[Revenus (FCFA)]]/Tableau1[[#This Row],[Dépenses (FCFA)]]</f>
        <v>8.6849315068493151</v>
      </c>
      <c r="M84" s="5" t="str">
        <f>IF(Tableau1[[#This Row],[ROAS (rentabilité des depenses)]]&gt;'Analyse '!$E$14,"PERFORMANT","SOUS PERFORMANT")</f>
        <v>PERFORMANT</v>
      </c>
    </row>
    <row r="85" spans="1:13" x14ac:dyDescent="0.3">
      <c r="A85" s="3">
        <v>46081</v>
      </c>
      <c r="B85" s="4" t="s">
        <v>9</v>
      </c>
      <c r="C85" s="4">
        <v>11450</v>
      </c>
      <c r="D85" s="4">
        <v>322</v>
      </c>
      <c r="E85" s="4">
        <v>24600</v>
      </c>
      <c r="F85" s="4">
        <v>24</v>
      </c>
      <c r="G85" s="4">
        <v>200000</v>
      </c>
      <c r="H85" s="4">
        <f>Tableau1[[#This Row],[Clicks]]/Tableau1[[#This Row],[Impressions]]</f>
        <v>2.8122270742358079E-2</v>
      </c>
      <c r="I85" s="4">
        <f>Tableau1[[#This Row],[Dépenses (FCFA)]]/Tableau1[[#This Row],[Clicks]]</f>
        <v>76.397515527950304</v>
      </c>
      <c r="J85" s="4">
        <f>Tableau1[[#This Row],[Conversions]]/Tableau1[[#This Row],[Clicks]]</f>
        <v>7.4534161490683232E-2</v>
      </c>
      <c r="K85" s="5">
        <f>Tableau1[[#This Row],[Dépenses (FCFA)]]/Tableau1[[#This Row],[Conversions]]</f>
        <v>1025</v>
      </c>
      <c r="L85" s="5">
        <f>Tableau1[[#This Row],[Revenus (FCFA)]]/Tableau1[[#This Row],[Dépenses (FCFA)]]</f>
        <v>8.1300813008130088</v>
      </c>
      <c r="M85" s="5" t="str">
        <f>IF(Tableau1[[#This Row],[ROAS (rentabilité des depenses)]]&gt;'Analyse '!$E$14,"PERFORMANT","SOUS PERFORMANT")</f>
        <v>PERFORMANT</v>
      </c>
    </row>
    <row r="86" spans="1:13" x14ac:dyDescent="0.3">
      <c r="A86" s="3">
        <v>46082</v>
      </c>
      <c r="B86" s="4" t="s">
        <v>7</v>
      </c>
      <c r="C86" s="4">
        <v>14300</v>
      </c>
      <c r="D86" s="4">
        <v>425</v>
      </c>
      <c r="E86" s="4">
        <v>29600</v>
      </c>
      <c r="F86" s="4">
        <v>29</v>
      </c>
      <c r="G86" s="4">
        <v>230000</v>
      </c>
      <c r="H86" s="4">
        <f>Tableau1[[#This Row],[Clicks]]/Tableau1[[#This Row],[Impressions]]</f>
        <v>2.972027972027972E-2</v>
      </c>
      <c r="I86" s="4">
        <f>Tableau1[[#This Row],[Dépenses (FCFA)]]/Tableau1[[#This Row],[Clicks]]</f>
        <v>69.647058823529406</v>
      </c>
      <c r="J86" s="4">
        <f>Tableau1[[#This Row],[Conversions]]/Tableau1[[#This Row],[Clicks]]</f>
        <v>6.8235294117647061E-2</v>
      </c>
      <c r="K86" s="5">
        <f>Tableau1[[#This Row],[Dépenses (FCFA)]]/Tableau1[[#This Row],[Conversions]]</f>
        <v>1020.6896551724138</v>
      </c>
      <c r="L86" s="5">
        <f>Tableau1[[#This Row],[Revenus (FCFA)]]/Tableau1[[#This Row],[Dépenses (FCFA)]]</f>
        <v>7.7702702702702702</v>
      </c>
      <c r="M86" s="5" t="str">
        <f>IF(Tableau1[[#This Row],[ROAS (rentabilité des depenses)]]&gt;'Analyse '!$E$14,"PERFORMANT","SOUS PERFORMANT")</f>
        <v>SOUS PERFORMANT</v>
      </c>
    </row>
    <row r="87" spans="1:13" x14ac:dyDescent="0.3">
      <c r="A87" s="3">
        <v>46082</v>
      </c>
      <c r="B87" s="4" t="s">
        <v>8</v>
      </c>
      <c r="C87" s="4">
        <v>9500</v>
      </c>
      <c r="D87" s="4">
        <v>483</v>
      </c>
      <c r="E87" s="4">
        <v>36800</v>
      </c>
      <c r="F87" s="4">
        <v>39</v>
      </c>
      <c r="G87" s="4">
        <v>320000</v>
      </c>
      <c r="H87" s="4">
        <f>Tableau1[[#This Row],[Clicks]]/Tableau1[[#This Row],[Impressions]]</f>
        <v>5.0842105263157897E-2</v>
      </c>
      <c r="I87" s="4">
        <f>Tableau1[[#This Row],[Dépenses (FCFA)]]/Tableau1[[#This Row],[Clicks]]</f>
        <v>76.19047619047619</v>
      </c>
      <c r="J87" s="4">
        <f>Tableau1[[#This Row],[Conversions]]/Tableau1[[#This Row],[Clicks]]</f>
        <v>8.0745341614906832E-2</v>
      </c>
      <c r="K87" s="5">
        <f>Tableau1[[#This Row],[Dépenses (FCFA)]]/Tableau1[[#This Row],[Conversions]]</f>
        <v>943.58974358974353</v>
      </c>
      <c r="L87" s="5">
        <f>Tableau1[[#This Row],[Revenus (FCFA)]]/Tableau1[[#This Row],[Dépenses (FCFA)]]</f>
        <v>8.695652173913043</v>
      </c>
      <c r="M87" s="5" t="str">
        <f>IF(Tableau1[[#This Row],[ROAS (rentabilité des depenses)]]&gt;'Analyse '!$E$14,"PERFORMANT","SOUS PERFORMANT")</f>
        <v>PERFORMANT</v>
      </c>
    </row>
    <row r="88" spans="1:13" x14ac:dyDescent="0.3">
      <c r="A88" s="3">
        <v>46082</v>
      </c>
      <c r="B88" s="4" t="s">
        <v>9</v>
      </c>
      <c r="C88" s="4">
        <v>11500</v>
      </c>
      <c r="D88" s="4">
        <v>325</v>
      </c>
      <c r="E88" s="4">
        <v>24800</v>
      </c>
      <c r="F88" s="4">
        <v>24</v>
      </c>
      <c r="G88" s="4">
        <v>202000</v>
      </c>
      <c r="H88" s="4">
        <f>Tableau1[[#This Row],[Clicks]]/Tableau1[[#This Row],[Impressions]]</f>
        <v>2.8260869565217391E-2</v>
      </c>
      <c r="I88" s="4">
        <f>Tableau1[[#This Row],[Dépenses (FCFA)]]/Tableau1[[#This Row],[Clicks]]</f>
        <v>76.307692307692307</v>
      </c>
      <c r="J88" s="4">
        <f>Tableau1[[#This Row],[Conversions]]/Tableau1[[#This Row],[Clicks]]</f>
        <v>7.3846153846153853E-2</v>
      </c>
      <c r="K88" s="5">
        <f>Tableau1[[#This Row],[Dépenses (FCFA)]]/Tableau1[[#This Row],[Conversions]]</f>
        <v>1033.3333333333333</v>
      </c>
      <c r="L88" s="5">
        <f>Tableau1[[#This Row],[Revenus (FCFA)]]/Tableau1[[#This Row],[Dépenses (FCFA)]]</f>
        <v>8.1451612903225801</v>
      </c>
      <c r="M88" s="5" t="str">
        <f>IF(Tableau1[[#This Row],[ROAS (rentabilité des depenses)]]&gt;'Analyse '!$E$14,"PERFORMANT","SOUS PERFORMANT")</f>
        <v>PERFORMANT</v>
      </c>
    </row>
    <row r="89" spans="1:13" x14ac:dyDescent="0.3">
      <c r="A89" s="3">
        <v>46083</v>
      </c>
      <c r="B89" s="4" t="s">
        <v>7</v>
      </c>
      <c r="C89" s="4">
        <v>14400</v>
      </c>
      <c r="D89" s="4">
        <v>428</v>
      </c>
      <c r="E89" s="4">
        <v>29800</v>
      </c>
      <c r="F89" s="4">
        <v>29</v>
      </c>
      <c r="G89" s="4">
        <v>232000</v>
      </c>
      <c r="H89" s="4">
        <f>Tableau1[[#This Row],[Clicks]]/Tableau1[[#This Row],[Impressions]]</f>
        <v>2.9722222222222223E-2</v>
      </c>
      <c r="I89" s="4">
        <f>Tableau1[[#This Row],[Dépenses (FCFA)]]/Tableau1[[#This Row],[Clicks]]</f>
        <v>69.626168224299064</v>
      </c>
      <c r="J89" s="4">
        <f>Tableau1[[#This Row],[Conversions]]/Tableau1[[#This Row],[Clicks]]</f>
        <v>6.7757009345794386E-2</v>
      </c>
      <c r="K89" s="5">
        <f>Tableau1[[#This Row],[Dépenses (FCFA)]]/Tableau1[[#This Row],[Conversions]]</f>
        <v>1027.5862068965516</v>
      </c>
      <c r="L89" s="5">
        <f>Tableau1[[#This Row],[Revenus (FCFA)]]/Tableau1[[#This Row],[Dépenses (FCFA)]]</f>
        <v>7.7852348993288594</v>
      </c>
      <c r="M89" s="5" t="str">
        <f>IF(Tableau1[[#This Row],[ROAS (rentabilité des depenses)]]&gt;'Analyse '!$E$14,"PERFORMANT","SOUS PERFORMANT")</f>
        <v>SOUS PERFORMANT</v>
      </c>
    </row>
    <row r="90" spans="1:13" x14ac:dyDescent="0.3">
      <c r="A90" s="3">
        <v>46083</v>
      </c>
      <c r="B90" s="4" t="s">
        <v>8</v>
      </c>
      <c r="C90" s="4">
        <v>9550</v>
      </c>
      <c r="D90" s="4">
        <v>485</v>
      </c>
      <c r="E90" s="4">
        <v>37000</v>
      </c>
      <c r="F90" s="4">
        <v>39</v>
      </c>
      <c r="G90" s="4">
        <v>322000</v>
      </c>
      <c r="H90" s="4">
        <f>Tableau1[[#This Row],[Clicks]]/Tableau1[[#This Row],[Impressions]]</f>
        <v>5.0785340314136125E-2</v>
      </c>
      <c r="I90" s="4">
        <f>Tableau1[[#This Row],[Dépenses (FCFA)]]/Tableau1[[#This Row],[Clicks]]</f>
        <v>76.288659793814432</v>
      </c>
      <c r="J90" s="4">
        <f>Tableau1[[#This Row],[Conversions]]/Tableau1[[#This Row],[Clicks]]</f>
        <v>8.0412371134020624E-2</v>
      </c>
      <c r="K90" s="5">
        <f>Tableau1[[#This Row],[Dépenses (FCFA)]]/Tableau1[[#This Row],[Conversions]]</f>
        <v>948.71794871794873</v>
      </c>
      <c r="L90" s="5">
        <f>Tableau1[[#This Row],[Revenus (FCFA)]]/Tableau1[[#This Row],[Dépenses (FCFA)]]</f>
        <v>8.7027027027027035</v>
      </c>
      <c r="M90" s="5" t="str">
        <f>IF(Tableau1[[#This Row],[ROAS (rentabilité des depenses)]]&gt;'Analyse '!$E$14,"PERFORMANT","SOUS PERFORMANT")</f>
        <v>PERFORMANT</v>
      </c>
    </row>
    <row r="91" spans="1:13" x14ac:dyDescent="0.3">
      <c r="A91" s="3">
        <v>46083</v>
      </c>
      <c r="B91" s="4" t="s">
        <v>9</v>
      </c>
      <c r="C91" s="4">
        <v>11550</v>
      </c>
      <c r="D91" s="4">
        <v>327</v>
      </c>
      <c r="E91" s="4">
        <v>25000</v>
      </c>
      <c r="F91" s="4">
        <v>24</v>
      </c>
      <c r="G91" s="4">
        <v>204000</v>
      </c>
      <c r="H91" s="4">
        <f>Tableau1[[#This Row],[Clicks]]/Tableau1[[#This Row],[Impressions]]</f>
        <v>2.8311688311688312E-2</v>
      </c>
      <c r="I91" s="4">
        <f>Tableau1[[#This Row],[Dépenses (FCFA)]]/Tableau1[[#This Row],[Clicks]]</f>
        <v>76.452599388379198</v>
      </c>
      <c r="J91" s="4">
        <f>Tableau1[[#This Row],[Conversions]]/Tableau1[[#This Row],[Clicks]]</f>
        <v>7.3394495412844041E-2</v>
      </c>
      <c r="K91" s="5">
        <f>Tableau1[[#This Row],[Dépenses (FCFA)]]/Tableau1[[#This Row],[Conversions]]</f>
        <v>1041.6666666666667</v>
      </c>
      <c r="L91" s="5">
        <f>Tableau1[[#This Row],[Revenus (FCFA)]]/Tableau1[[#This Row],[Dépenses (FCFA)]]</f>
        <v>8.16</v>
      </c>
      <c r="M91" s="5" t="str">
        <f>IF(Tableau1[[#This Row],[ROAS (rentabilité des depenses)]]&gt;'Analyse '!$E$14,"PERFORMANT","SOUS PERFORMANT")</f>
        <v>PERFORMANT</v>
      </c>
    </row>
    <row r="92" spans="1:13" x14ac:dyDescent="0.3">
      <c r="K92">
        <f>AVERAGE(K2:K91)</f>
        <v>1147.2790981309504</v>
      </c>
    </row>
  </sheetData>
  <phoneticPr fontId="7" type="noConversion"/>
  <conditionalFormatting sqref="M1:M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91">
    <cfRule type="iconSet" priority="26">
      <iconSet>
        <cfvo type="percent" val="0"/>
        <cfvo type="percent" val="33"/>
        <cfvo type="percent" val="67"/>
      </iconSet>
    </cfRule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C5B5A875-0414-4685-B7B7-13F248992CDE}">
            <xm:f>NOT(ISERROR(SEARCH($M$28,M1)))</xm:f>
            <xm:f>$M$28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M1:M91</xm:sqref>
        </x14:conditionalFormatting>
        <x14:conditionalFormatting xmlns:xm="http://schemas.microsoft.com/office/excel/2006/main">
          <x14:cfRule type="containsText" priority="25" operator="containsText" id="{0A2313EB-93DF-46B1-8D56-F69451428B0E}">
            <xm:f>NOT(ISERROR(SEARCH($M$27,M2)))</xm:f>
            <xm:f>$M$27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M2:M91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AD1CD-53D5-4913-B9A5-E4E4277EADCB}">
  <sheetPr>
    <tabColor theme="5" tint="-0.249977111117893"/>
  </sheetPr>
  <dimension ref="A3:P121"/>
  <sheetViews>
    <sheetView topLeftCell="I57" workbookViewId="0">
      <selection activeCell="I54" sqref="I54"/>
    </sheetView>
  </sheetViews>
  <sheetFormatPr baseColWidth="10" defaultRowHeight="14.4" x14ac:dyDescent="0.3"/>
  <cols>
    <col min="1" max="1" width="24.5546875" bestFit="1" customWidth="1"/>
    <col min="2" max="2" width="22.33203125" bestFit="1" customWidth="1"/>
    <col min="3" max="3" width="10.44140625" bestFit="1" customWidth="1"/>
    <col min="4" max="4" width="13" bestFit="1" customWidth="1"/>
    <col min="5" max="5" width="11.88671875" bestFit="1" customWidth="1"/>
    <col min="6" max="7" width="12" bestFit="1" customWidth="1"/>
    <col min="8" max="8" width="37.6640625" bestFit="1" customWidth="1"/>
    <col min="9" max="9" width="22.33203125" bestFit="1" customWidth="1"/>
    <col min="10" max="10" width="20.5546875" bestFit="1" customWidth="1"/>
    <col min="11" max="11" width="27" bestFit="1" customWidth="1"/>
    <col min="12" max="12" width="22.33203125" bestFit="1" customWidth="1"/>
    <col min="13" max="13" width="12" bestFit="1" customWidth="1"/>
    <col min="14" max="14" width="13" bestFit="1" customWidth="1"/>
    <col min="15" max="15" width="5.88671875" bestFit="1" customWidth="1"/>
    <col min="16" max="16" width="12" bestFit="1" customWidth="1"/>
  </cols>
  <sheetData>
    <row r="3" spans="1:16" x14ac:dyDescent="0.3">
      <c r="A3" s="6" t="s">
        <v>37</v>
      </c>
      <c r="B3" s="6" t="s">
        <v>77</v>
      </c>
      <c r="H3" s="6" t="s">
        <v>37</v>
      </c>
      <c r="I3" s="6" t="s">
        <v>77</v>
      </c>
    </row>
    <row r="4" spans="1:16" x14ac:dyDescent="0.3">
      <c r="A4" s="6" t="s">
        <v>14</v>
      </c>
      <c r="B4" t="s">
        <v>7</v>
      </c>
      <c r="C4" t="s">
        <v>8</v>
      </c>
      <c r="D4" t="s">
        <v>9</v>
      </c>
      <c r="E4" t="s">
        <v>16</v>
      </c>
      <c r="H4" s="6" t="s">
        <v>14</v>
      </c>
      <c r="I4" t="s">
        <v>7</v>
      </c>
      <c r="J4" t="s">
        <v>8</v>
      </c>
      <c r="K4" t="s">
        <v>9</v>
      </c>
      <c r="L4" t="s">
        <v>16</v>
      </c>
    </row>
    <row r="5" spans="1:16" x14ac:dyDescent="0.3">
      <c r="A5" s="7" t="s">
        <v>45</v>
      </c>
      <c r="B5" s="8">
        <v>750900</v>
      </c>
      <c r="C5" s="8">
        <v>928700</v>
      </c>
      <c r="D5" s="8">
        <v>620950</v>
      </c>
      <c r="E5" s="8">
        <v>2300550</v>
      </c>
      <c r="H5" s="7" t="s">
        <v>45</v>
      </c>
      <c r="I5" s="18">
        <v>750900</v>
      </c>
      <c r="J5" s="18">
        <v>928700</v>
      </c>
      <c r="K5" s="18">
        <v>620950</v>
      </c>
      <c r="L5" s="18">
        <v>2300550</v>
      </c>
    </row>
    <row r="6" spans="1:16" x14ac:dyDescent="0.3">
      <c r="A6" s="7" t="s">
        <v>46</v>
      </c>
      <c r="B6" s="8">
        <v>59400</v>
      </c>
      <c r="C6" s="8">
        <v>73800</v>
      </c>
      <c r="D6" s="8">
        <v>49800</v>
      </c>
      <c r="E6" s="8">
        <v>183000</v>
      </c>
      <c r="H6" s="7" t="s">
        <v>46</v>
      </c>
      <c r="I6" s="18">
        <v>59400</v>
      </c>
      <c r="J6" s="18">
        <v>73800</v>
      </c>
      <c r="K6" s="18">
        <v>49800</v>
      </c>
      <c r="L6" s="18">
        <v>183000</v>
      </c>
    </row>
    <row r="7" spans="1:16" x14ac:dyDescent="0.3">
      <c r="A7" s="7" t="s">
        <v>16</v>
      </c>
      <c r="B7" s="8">
        <v>810300</v>
      </c>
      <c r="C7" s="8">
        <v>1002500</v>
      </c>
      <c r="D7" s="8">
        <v>670750</v>
      </c>
      <c r="E7" s="8">
        <v>2483550</v>
      </c>
      <c r="H7" s="7" t="s">
        <v>16</v>
      </c>
      <c r="I7" s="18">
        <v>810300</v>
      </c>
      <c r="J7" s="18">
        <v>1002500</v>
      </c>
      <c r="K7" s="18">
        <v>670750</v>
      </c>
      <c r="L7" s="18">
        <v>2483550</v>
      </c>
    </row>
    <row r="11" spans="1:16" x14ac:dyDescent="0.3">
      <c r="A11" s="6" t="s">
        <v>41</v>
      </c>
      <c r="B11" s="6" t="s">
        <v>77</v>
      </c>
      <c r="I11" s="6" t="s">
        <v>77</v>
      </c>
    </row>
    <row r="12" spans="1:16" x14ac:dyDescent="0.3">
      <c r="A12" s="6" t="s">
        <v>14</v>
      </c>
      <c r="B12" t="s">
        <v>7</v>
      </c>
      <c r="C12" t="s">
        <v>8</v>
      </c>
      <c r="D12" t="s">
        <v>9</v>
      </c>
      <c r="E12" t="s">
        <v>16</v>
      </c>
      <c r="I12" t="s">
        <v>7</v>
      </c>
      <c r="K12" t="s">
        <v>8</v>
      </c>
      <c r="M12" t="s">
        <v>9</v>
      </c>
      <c r="O12" t="s">
        <v>87</v>
      </c>
      <c r="P12" t="s">
        <v>88</v>
      </c>
    </row>
    <row r="13" spans="1:16" x14ac:dyDescent="0.3">
      <c r="A13" s="7" t="s">
        <v>45</v>
      </c>
      <c r="B13" s="18">
        <v>361450</v>
      </c>
      <c r="C13" s="18">
        <v>245550</v>
      </c>
      <c r="D13" s="18">
        <v>301550</v>
      </c>
      <c r="E13" s="18">
        <v>908550</v>
      </c>
      <c r="H13" s="6" t="s">
        <v>14</v>
      </c>
      <c r="I13" t="s">
        <v>42</v>
      </c>
      <c r="J13" t="s">
        <v>41</v>
      </c>
      <c r="K13" t="s">
        <v>42</v>
      </c>
      <c r="L13" t="s">
        <v>41</v>
      </c>
      <c r="M13" t="s">
        <v>42</v>
      </c>
      <c r="N13" t="s">
        <v>41</v>
      </c>
    </row>
    <row r="14" spans="1:16" x14ac:dyDescent="0.3">
      <c r="A14" s="7" t="s">
        <v>46</v>
      </c>
      <c r="B14" s="18">
        <v>28700</v>
      </c>
      <c r="C14" s="18">
        <v>19050</v>
      </c>
      <c r="D14" s="18">
        <v>23050</v>
      </c>
      <c r="E14" s="18">
        <v>70800</v>
      </c>
      <c r="H14" s="7" t="s">
        <v>45</v>
      </c>
      <c r="I14" s="18">
        <v>622</v>
      </c>
      <c r="J14" s="18">
        <v>361450</v>
      </c>
      <c r="K14" s="18">
        <v>881</v>
      </c>
      <c r="L14" s="18">
        <v>245550</v>
      </c>
      <c r="M14" s="18">
        <v>531</v>
      </c>
      <c r="N14" s="18">
        <v>301550</v>
      </c>
      <c r="O14" s="18">
        <v>2034</v>
      </c>
      <c r="P14" s="18">
        <v>908550</v>
      </c>
    </row>
    <row r="15" spans="1:16" x14ac:dyDescent="0.3">
      <c r="A15" s="7" t="s">
        <v>16</v>
      </c>
      <c r="B15" s="18">
        <v>390150</v>
      </c>
      <c r="C15" s="18">
        <v>264600</v>
      </c>
      <c r="D15" s="18">
        <v>324600</v>
      </c>
      <c r="E15" s="18">
        <v>979350</v>
      </c>
      <c r="H15" s="7" t="s">
        <v>46</v>
      </c>
      <c r="I15" s="18">
        <v>58</v>
      </c>
      <c r="J15" s="18">
        <v>28700</v>
      </c>
      <c r="K15" s="18">
        <v>78</v>
      </c>
      <c r="L15" s="18">
        <v>19050</v>
      </c>
      <c r="M15" s="18">
        <v>48</v>
      </c>
      <c r="N15" s="18">
        <v>23050</v>
      </c>
      <c r="O15" s="18">
        <v>184</v>
      </c>
      <c r="P15" s="18">
        <v>70800</v>
      </c>
    </row>
    <row r="16" spans="1:16" x14ac:dyDescent="0.3">
      <c r="H16" s="7" t="s">
        <v>16</v>
      </c>
      <c r="I16" s="18">
        <v>680</v>
      </c>
      <c r="J16" s="18">
        <v>390150</v>
      </c>
      <c r="K16" s="18">
        <v>959</v>
      </c>
      <c r="L16" s="18">
        <v>264600</v>
      </c>
      <c r="M16" s="18">
        <v>579</v>
      </c>
      <c r="N16" s="18">
        <v>324600</v>
      </c>
      <c r="O16" s="18">
        <v>2218</v>
      </c>
      <c r="P16" s="18">
        <v>979350</v>
      </c>
    </row>
    <row r="18" spans="1:12" x14ac:dyDescent="0.3">
      <c r="A18" s="6" t="s">
        <v>17</v>
      </c>
      <c r="B18" s="6" t="s">
        <v>77</v>
      </c>
      <c r="H18" s="6" t="s">
        <v>43</v>
      </c>
      <c r="I18" s="6" t="s">
        <v>77</v>
      </c>
    </row>
    <row r="19" spans="1:12" x14ac:dyDescent="0.3">
      <c r="A19" s="6" t="s">
        <v>14</v>
      </c>
      <c r="B19" t="s">
        <v>7</v>
      </c>
      <c r="C19" t="s">
        <v>8</v>
      </c>
      <c r="D19" t="s">
        <v>9</v>
      </c>
      <c r="E19" t="s">
        <v>16</v>
      </c>
      <c r="H19" s="6" t="s">
        <v>14</v>
      </c>
      <c r="I19" t="s">
        <v>7</v>
      </c>
      <c r="J19" t="s">
        <v>8</v>
      </c>
      <c r="K19" t="s">
        <v>9</v>
      </c>
      <c r="L19" t="s">
        <v>16</v>
      </c>
    </row>
    <row r="20" spans="1:12" x14ac:dyDescent="0.3">
      <c r="A20" s="7" t="s">
        <v>45</v>
      </c>
      <c r="B20" s="18"/>
      <c r="C20" s="18"/>
      <c r="D20" s="18"/>
      <c r="E20" s="18"/>
      <c r="H20" s="7" t="s">
        <v>45</v>
      </c>
      <c r="I20" s="18">
        <v>5562000</v>
      </c>
      <c r="J20" s="18">
        <v>7936000</v>
      </c>
      <c r="K20" s="18">
        <v>4909000</v>
      </c>
      <c r="L20" s="18">
        <v>18407000</v>
      </c>
    </row>
    <row r="21" spans="1:12" x14ac:dyDescent="0.3">
      <c r="A21" s="17" t="s">
        <v>47</v>
      </c>
      <c r="B21" s="18">
        <v>0.03</v>
      </c>
      <c r="C21" s="18">
        <v>0.05</v>
      </c>
      <c r="D21" s="18">
        <v>2.5000000000000001E-2</v>
      </c>
      <c r="E21" s="18">
        <v>0.10500000000000001</v>
      </c>
      <c r="H21" s="7" t="s">
        <v>46</v>
      </c>
      <c r="I21" s="18">
        <v>462000</v>
      </c>
      <c r="J21" s="18">
        <v>642000</v>
      </c>
      <c r="K21" s="18">
        <v>406000</v>
      </c>
      <c r="L21" s="18">
        <v>1510000</v>
      </c>
    </row>
    <row r="22" spans="1:12" x14ac:dyDescent="0.3">
      <c r="A22" s="17" t="s">
        <v>48</v>
      </c>
      <c r="B22" s="18">
        <v>3.0327868852459017E-2</v>
      </c>
      <c r="C22" s="18">
        <v>0.05</v>
      </c>
      <c r="D22" s="18">
        <v>2.5490196078431372E-2</v>
      </c>
      <c r="E22" s="18">
        <v>0.10581806493089038</v>
      </c>
      <c r="H22" s="7" t="s">
        <v>16</v>
      </c>
      <c r="I22" s="18">
        <v>6024000</v>
      </c>
      <c r="J22" s="18">
        <v>8578000</v>
      </c>
      <c r="K22" s="18">
        <v>5315000</v>
      </c>
      <c r="L22" s="18">
        <v>19917000</v>
      </c>
    </row>
    <row r="23" spans="1:12" x14ac:dyDescent="0.3">
      <c r="A23" s="17" t="s">
        <v>49</v>
      </c>
      <c r="B23" s="18">
        <v>3.0084745762711865E-2</v>
      </c>
      <c r="C23" s="18">
        <v>4.8765432098765431E-2</v>
      </c>
      <c r="D23" s="18">
        <v>2.5247524752475249E-2</v>
      </c>
      <c r="E23" s="18">
        <v>0.10409770261395254</v>
      </c>
    </row>
    <row r="24" spans="1:12" x14ac:dyDescent="0.3">
      <c r="A24" s="17" t="s">
        <v>50</v>
      </c>
      <c r="B24" s="18">
        <v>3.0165289256198349E-2</v>
      </c>
      <c r="C24" s="18">
        <v>0.05</v>
      </c>
      <c r="D24" s="18">
        <v>2.5728155339805825E-2</v>
      </c>
      <c r="E24" s="18">
        <v>0.10589344459600418</v>
      </c>
    </row>
    <row r="25" spans="1:12" x14ac:dyDescent="0.3">
      <c r="A25" s="17" t="s">
        <v>51</v>
      </c>
      <c r="B25" s="18">
        <v>3.0292887029288704E-2</v>
      </c>
      <c r="C25" s="18">
        <v>4.9090909090909088E-2</v>
      </c>
      <c r="D25" s="18">
        <v>2.5560975609756096E-2</v>
      </c>
      <c r="E25" s="18">
        <v>0.10494477172995388</v>
      </c>
    </row>
    <row r="26" spans="1:12" x14ac:dyDescent="0.3">
      <c r="A26" s="17" t="s">
        <v>52</v>
      </c>
      <c r="B26" s="18">
        <v>3.0539419087136928E-2</v>
      </c>
      <c r="C26" s="18">
        <v>5.005988023952096E-2</v>
      </c>
      <c r="D26" s="18">
        <v>2.5893719806763284E-2</v>
      </c>
      <c r="E26" s="18">
        <v>0.10649301913342116</v>
      </c>
      <c r="H26" s="6" t="s">
        <v>39</v>
      </c>
      <c r="I26" s="6" t="s">
        <v>77</v>
      </c>
    </row>
    <row r="27" spans="1:12" x14ac:dyDescent="0.3">
      <c r="A27" s="17" t="s">
        <v>53</v>
      </c>
      <c r="B27" s="18">
        <v>3.0452674897119343E-2</v>
      </c>
      <c r="C27" s="18">
        <v>0.05</v>
      </c>
      <c r="D27" s="18">
        <v>2.5961538461538463E-2</v>
      </c>
      <c r="E27" s="18">
        <v>0.10641421335865782</v>
      </c>
      <c r="H27" s="6" t="s">
        <v>14</v>
      </c>
      <c r="I27" t="s">
        <v>7</v>
      </c>
      <c r="J27" t="s">
        <v>8</v>
      </c>
      <c r="K27" t="s">
        <v>9</v>
      </c>
      <c r="L27" t="s">
        <v>16</v>
      </c>
    </row>
    <row r="28" spans="1:12" x14ac:dyDescent="0.3">
      <c r="A28" s="17" t="s">
        <v>54</v>
      </c>
      <c r="B28" s="18">
        <v>3.0491803278688525E-2</v>
      </c>
      <c r="C28" s="18">
        <v>5.0295857988165681E-2</v>
      </c>
      <c r="D28" s="18">
        <v>2.6028708133971293E-2</v>
      </c>
      <c r="E28" s="18">
        <v>0.10681636940082549</v>
      </c>
      <c r="H28" s="7" t="s">
        <v>45</v>
      </c>
      <c r="I28" s="18">
        <v>34278.78865471785</v>
      </c>
      <c r="J28" s="18">
        <v>29798.612509823186</v>
      </c>
      <c r="K28" s="18">
        <v>33162.13411286781</v>
      </c>
      <c r="L28" s="18">
        <v>97239.535277408839</v>
      </c>
    </row>
    <row r="29" spans="1:12" x14ac:dyDescent="0.3">
      <c r="A29" s="17" t="s">
        <v>55</v>
      </c>
      <c r="B29" s="18">
        <v>3.048780487804878E-2</v>
      </c>
      <c r="C29" s="18">
        <v>5.0588235294117649E-2</v>
      </c>
      <c r="D29" s="18">
        <v>2.6190476190476191E-2</v>
      </c>
      <c r="E29" s="18">
        <v>0.10726651636264263</v>
      </c>
      <c r="H29" s="7" t="s">
        <v>46</v>
      </c>
      <c r="I29" s="18">
        <v>2048.2758620689656</v>
      </c>
      <c r="J29" s="18">
        <v>1892.3076923076924</v>
      </c>
      <c r="K29" s="18">
        <v>2075</v>
      </c>
      <c r="L29" s="18">
        <v>6015.583554376658</v>
      </c>
    </row>
    <row r="30" spans="1:12" x14ac:dyDescent="0.3">
      <c r="A30" s="17" t="s">
        <v>56</v>
      </c>
      <c r="B30" s="18">
        <v>3.0483870967741935E-2</v>
      </c>
      <c r="C30" s="18">
        <v>5.0877192982456139E-2</v>
      </c>
      <c r="D30" s="18">
        <v>2.6255924170616115E-2</v>
      </c>
      <c r="E30" s="18">
        <v>0.10761698812081419</v>
      </c>
      <c r="H30" s="7" t="s">
        <v>16</v>
      </c>
      <c r="I30" s="18">
        <v>36327.064516786813</v>
      </c>
      <c r="J30" s="18">
        <v>31690.920202130877</v>
      </c>
      <c r="K30" s="18">
        <v>35237.13411286781</v>
      </c>
      <c r="L30" s="18">
        <v>103255.1188317855</v>
      </c>
    </row>
    <row r="31" spans="1:12" x14ac:dyDescent="0.3">
      <c r="A31" s="17" t="s">
        <v>57</v>
      </c>
      <c r="B31" s="18">
        <v>3.04E-2</v>
      </c>
      <c r="C31" s="18">
        <v>5.0930232558139533E-2</v>
      </c>
      <c r="D31" s="18">
        <v>2.6415094339622643E-2</v>
      </c>
      <c r="E31" s="18">
        <v>0.10774532689776217</v>
      </c>
    </row>
    <row r="32" spans="1:12" x14ac:dyDescent="0.3">
      <c r="A32" s="17" t="s">
        <v>58</v>
      </c>
      <c r="B32" s="18">
        <v>3.0396825396825398E-2</v>
      </c>
      <c r="C32" s="18">
        <v>5.086705202312139E-2</v>
      </c>
      <c r="D32" s="18">
        <v>2.647887323943662E-2</v>
      </c>
      <c r="E32" s="18">
        <v>0.10774275065938341</v>
      </c>
    </row>
    <row r="33" spans="1:12" x14ac:dyDescent="0.3">
      <c r="A33" s="17" t="s">
        <v>59</v>
      </c>
      <c r="B33" s="18">
        <v>3.0314960629921259E-2</v>
      </c>
      <c r="C33" s="18">
        <v>5.0919540229885055E-2</v>
      </c>
      <c r="D33" s="18">
        <v>2.6635514018691589E-2</v>
      </c>
      <c r="E33" s="18">
        <v>0.1078700148784979</v>
      </c>
    </row>
    <row r="34" spans="1:12" x14ac:dyDescent="0.3">
      <c r="A34" s="17" t="s">
        <v>60</v>
      </c>
      <c r="B34" s="18">
        <v>3.0312499999999999E-2</v>
      </c>
      <c r="C34" s="18">
        <v>5.0857142857142858E-2</v>
      </c>
      <c r="D34" s="18">
        <v>2.6697674418604652E-2</v>
      </c>
      <c r="E34" s="18">
        <v>0.10786731727574751</v>
      </c>
    </row>
    <row r="35" spans="1:12" x14ac:dyDescent="0.3">
      <c r="A35" s="17" t="s">
        <v>61</v>
      </c>
      <c r="B35" s="18">
        <v>3.0232558139534883E-2</v>
      </c>
      <c r="C35" s="18">
        <v>5.0909090909090911E-2</v>
      </c>
      <c r="D35" s="18">
        <v>2.6851851851851852E-2</v>
      </c>
      <c r="E35" s="18">
        <v>0.10799350090047764</v>
      </c>
      <c r="H35" s="6" t="s">
        <v>42</v>
      </c>
      <c r="I35" s="6" t="s">
        <v>77</v>
      </c>
    </row>
    <row r="36" spans="1:12" x14ac:dyDescent="0.3">
      <c r="A36" s="17" t="s">
        <v>62</v>
      </c>
      <c r="B36" s="18">
        <v>3.0230769230769231E-2</v>
      </c>
      <c r="C36" s="18">
        <v>5.0847457627118647E-2</v>
      </c>
      <c r="D36" s="18">
        <v>2.6912442396313366E-2</v>
      </c>
      <c r="E36" s="18">
        <v>0.10799066925420124</v>
      </c>
      <c r="H36" s="6" t="s">
        <v>14</v>
      </c>
      <c r="I36" t="s">
        <v>7</v>
      </c>
      <c r="J36" t="s">
        <v>8</v>
      </c>
      <c r="K36" t="s">
        <v>9</v>
      </c>
      <c r="L36" t="s">
        <v>16</v>
      </c>
    </row>
    <row r="37" spans="1:12" x14ac:dyDescent="0.3">
      <c r="A37" s="17" t="s">
        <v>63</v>
      </c>
      <c r="B37" s="18">
        <v>3.015267175572519E-2</v>
      </c>
      <c r="C37" s="18">
        <v>5.0898876404494385E-2</v>
      </c>
      <c r="D37" s="18">
        <v>2.706422018348624E-2</v>
      </c>
      <c r="E37" s="18">
        <v>0.10811576834370581</v>
      </c>
      <c r="H37" s="7" t="s">
        <v>46</v>
      </c>
      <c r="I37" s="18">
        <v>58</v>
      </c>
      <c r="J37" s="18">
        <v>78</v>
      </c>
      <c r="K37" s="18">
        <v>48</v>
      </c>
      <c r="L37" s="18">
        <v>184</v>
      </c>
    </row>
    <row r="38" spans="1:12" x14ac:dyDescent="0.3">
      <c r="A38" s="17" t="s">
        <v>64</v>
      </c>
      <c r="B38" s="18">
        <v>3.0151515151515151E-2</v>
      </c>
      <c r="C38" s="18">
        <v>5.0837988826815644E-2</v>
      </c>
      <c r="D38" s="18">
        <v>2.7123287671232878E-2</v>
      </c>
      <c r="E38" s="18">
        <v>0.10811279164956367</v>
      </c>
      <c r="H38" s="7" t="s">
        <v>16</v>
      </c>
      <c r="I38" s="18">
        <v>58</v>
      </c>
      <c r="J38" s="18">
        <v>78</v>
      </c>
      <c r="K38" s="18">
        <v>48</v>
      </c>
      <c r="L38" s="18">
        <v>184</v>
      </c>
    </row>
    <row r="39" spans="1:12" x14ac:dyDescent="0.3">
      <c r="A39" s="17" t="s">
        <v>65</v>
      </c>
      <c r="B39" s="18">
        <v>3.007518796992481E-2</v>
      </c>
      <c r="C39" s="18">
        <v>5.0888888888888886E-2</v>
      </c>
      <c r="D39" s="18">
        <v>2.7272727272727271E-2</v>
      </c>
      <c r="E39" s="18">
        <v>0.10823680413154096</v>
      </c>
    </row>
    <row r="40" spans="1:12" x14ac:dyDescent="0.3">
      <c r="A40" s="17" t="s">
        <v>66</v>
      </c>
      <c r="B40" s="18">
        <v>3.0074626865671642E-2</v>
      </c>
      <c r="C40" s="18">
        <v>5.0828729281767959E-2</v>
      </c>
      <c r="D40" s="18">
        <v>2.7330316742081449E-2</v>
      </c>
      <c r="E40" s="18">
        <v>0.10823367288952104</v>
      </c>
    </row>
    <row r="41" spans="1:12" x14ac:dyDescent="0.3">
      <c r="A41" s="17" t="s">
        <v>67</v>
      </c>
      <c r="B41" s="18">
        <v>0.03</v>
      </c>
      <c r="C41" s="18">
        <v>5.087912087912088E-2</v>
      </c>
      <c r="D41" s="18">
        <v>2.7477477477477478E-2</v>
      </c>
      <c r="E41" s="18">
        <v>0.10835659835659836</v>
      </c>
    </row>
    <row r="42" spans="1:12" x14ac:dyDescent="0.3">
      <c r="A42" s="17" t="s">
        <v>68</v>
      </c>
      <c r="B42" s="18">
        <v>0.03</v>
      </c>
      <c r="C42" s="18">
        <v>5.0819672131147541E-2</v>
      </c>
      <c r="D42" s="18">
        <v>2.7533632286995516E-2</v>
      </c>
      <c r="E42" s="18">
        <v>0.10835330441814306</v>
      </c>
    </row>
    <row r="43" spans="1:12" x14ac:dyDescent="0.3">
      <c r="A43" s="17" t="s">
        <v>69</v>
      </c>
      <c r="B43" s="18">
        <v>2.9927007299270073E-2</v>
      </c>
      <c r="C43" s="18">
        <v>5.0869565217391305E-2</v>
      </c>
      <c r="D43" s="18">
        <v>2.7678571428571427E-2</v>
      </c>
      <c r="E43" s="18">
        <v>0.1084751439452328</v>
      </c>
      <c r="H43" s="6" t="s">
        <v>40</v>
      </c>
      <c r="I43" s="6" t="s">
        <v>77</v>
      </c>
    </row>
    <row r="44" spans="1:12" x14ac:dyDescent="0.3">
      <c r="A44" s="17" t="s">
        <v>70</v>
      </c>
      <c r="B44" s="18">
        <v>2.9927536231884058E-2</v>
      </c>
      <c r="C44" s="18">
        <v>5.0810810810810812E-2</v>
      </c>
      <c r="D44" s="18">
        <v>2.7733333333333332E-2</v>
      </c>
      <c r="E44" s="18">
        <v>0.1084716803760282</v>
      </c>
      <c r="H44" s="6" t="s">
        <v>14</v>
      </c>
      <c r="I44" t="s">
        <v>7</v>
      </c>
      <c r="J44" t="s">
        <v>8</v>
      </c>
      <c r="K44" t="s">
        <v>9</v>
      </c>
      <c r="L44" t="s">
        <v>16</v>
      </c>
    </row>
    <row r="45" spans="1:12" x14ac:dyDescent="0.3">
      <c r="A45" s="17" t="s">
        <v>71</v>
      </c>
      <c r="B45" s="18">
        <v>2.985611510791367E-2</v>
      </c>
      <c r="C45" s="18">
        <v>5.0860215053763438E-2</v>
      </c>
      <c r="D45" s="18">
        <v>2.7876106194690265E-2</v>
      </c>
      <c r="E45" s="18">
        <v>0.10859243635636737</v>
      </c>
      <c r="H45" s="7" t="s">
        <v>45</v>
      </c>
      <c r="I45" s="18">
        <v>207.16779678724239</v>
      </c>
      <c r="J45" s="18">
        <v>239.09703075784333</v>
      </c>
      <c r="K45" s="18">
        <v>221.00838676797332</v>
      </c>
      <c r="L45" s="18">
        <v>667.27321431305904</v>
      </c>
    </row>
    <row r="46" spans="1:12" x14ac:dyDescent="0.3">
      <c r="A46" s="17" t="s">
        <v>72</v>
      </c>
      <c r="B46" s="18">
        <v>2.9857142857142856E-2</v>
      </c>
      <c r="C46" s="18">
        <v>5.0802139037433157E-2</v>
      </c>
      <c r="D46" s="18">
        <v>2.7929515418502204E-2</v>
      </c>
      <c r="E46" s="18">
        <v>0.10858879731307822</v>
      </c>
      <c r="H46" s="7" t="s">
        <v>46</v>
      </c>
      <c r="I46" s="18">
        <v>15.55550516959913</v>
      </c>
      <c r="J46" s="18">
        <v>17.398354876615748</v>
      </c>
      <c r="K46" s="18">
        <v>16.30516129032258</v>
      </c>
      <c r="L46" s="18">
        <v>49.259021336537458</v>
      </c>
    </row>
    <row r="47" spans="1:12" x14ac:dyDescent="0.3">
      <c r="A47" s="17" t="s">
        <v>73</v>
      </c>
      <c r="B47" s="18">
        <v>2.9787234042553193E-2</v>
      </c>
      <c r="C47" s="18">
        <v>5.0851063829787234E-2</v>
      </c>
      <c r="D47" s="18">
        <v>2.8070175438596492E-2</v>
      </c>
      <c r="E47" s="18">
        <v>0.10870847331093692</v>
      </c>
      <c r="H47" s="7" t="s">
        <v>16</v>
      </c>
      <c r="I47" s="18">
        <v>222.72330195684151</v>
      </c>
      <c r="J47" s="18">
        <v>256.49538563445907</v>
      </c>
      <c r="K47" s="18">
        <v>237.31354805829591</v>
      </c>
      <c r="L47" s="18">
        <v>716.53223564959649</v>
      </c>
    </row>
    <row r="48" spans="1:12" x14ac:dyDescent="0.3">
      <c r="A48" s="17" t="s">
        <v>74</v>
      </c>
      <c r="B48" s="18">
        <v>2.9788732394366198E-2</v>
      </c>
      <c r="C48" s="18">
        <v>5.0793650793650794E-2</v>
      </c>
      <c r="D48" s="18">
        <v>2.8122270742358079E-2</v>
      </c>
      <c r="E48" s="18">
        <v>0.10870465393037508</v>
      </c>
    </row>
    <row r="49" spans="1:16" x14ac:dyDescent="0.3">
      <c r="A49" s="7" t="s">
        <v>46</v>
      </c>
      <c r="B49" s="18"/>
      <c r="C49" s="18"/>
      <c r="D49" s="18"/>
      <c r="E49" s="18"/>
    </row>
    <row r="50" spans="1:16" x14ac:dyDescent="0.3">
      <c r="A50" s="17" t="s">
        <v>75</v>
      </c>
      <c r="B50" s="18">
        <v>2.972027972027972E-2</v>
      </c>
      <c r="C50" s="18">
        <v>5.0842105263157897E-2</v>
      </c>
      <c r="D50" s="18">
        <v>2.8260869565217391E-2</v>
      </c>
      <c r="E50" s="18">
        <v>0.10882325454865502</v>
      </c>
      <c r="H50" s="6" t="s">
        <v>17</v>
      </c>
      <c r="I50" s="6" t="s">
        <v>77</v>
      </c>
    </row>
    <row r="51" spans="1:16" x14ac:dyDescent="0.3">
      <c r="A51" s="17" t="s">
        <v>76</v>
      </c>
      <c r="B51" s="18">
        <v>2.9722222222222223E-2</v>
      </c>
      <c r="C51" s="18">
        <v>5.0785340314136125E-2</v>
      </c>
      <c r="D51" s="18">
        <v>2.8311688311688312E-2</v>
      </c>
      <c r="E51" s="18">
        <v>0.10881925084804667</v>
      </c>
      <c r="H51" s="6" t="s">
        <v>14</v>
      </c>
      <c r="I51" t="s">
        <v>7</v>
      </c>
      <c r="J51" t="s">
        <v>8</v>
      </c>
      <c r="K51" t="s">
        <v>9</v>
      </c>
      <c r="L51" t="s">
        <v>16</v>
      </c>
    </row>
    <row r="52" spans="1:16" x14ac:dyDescent="0.3">
      <c r="A52" s="7" t="s">
        <v>16</v>
      </c>
      <c r="B52" s="18">
        <v>0.90425424902491303</v>
      </c>
      <c r="C52" s="18">
        <v>1.516776190630799</v>
      </c>
      <c r="D52" s="18">
        <v>0.80513286087531299</v>
      </c>
      <c r="E52" s="18">
        <v>3.2261633005310255</v>
      </c>
      <c r="H52" s="7" t="s">
        <v>45</v>
      </c>
      <c r="I52" s="18">
        <v>0.84481174708241114</v>
      </c>
      <c r="J52" s="18">
        <v>1.4151487450535052</v>
      </c>
      <c r="K52" s="18">
        <v>0.74856030299840737</v>
      </c>
      <c r="L52" s="18">
        <v>3.0085207951343236</v>
      </c>
    </row>
    <row r="53" spans="1:16" x14ac:dyDescent="0.3">
      <c r="H53" s="7" t="s">
        <v>46</v>
      </c>
      <c r="I53" s="18">
        <v>5.9442501942501946E-2</v>
      </c>
      <c r="J53" s="18">
        <v>0.10162744557729403</v>
      </c>
      <c r="K53" s="18">
        <v>5.6572557876905703E-2</v>
      </c>
      <c r="L53" s="18">
        <v>0.21764250539670169</v>
      </c>
    </row>
    <row r="54" spans="1:16" x14ac:dyDescent="0.3">
      <c r="H54" s="7" t="s">
        <v>16</v>
      </c>
      <c r="I54" s="18">
        <v>0.90425424902491303</v>
      </c>
      <c r="J54" s="18">
        <v>1.5167761906307993</v>
      </c>
      <c r="K54" s="18">
        <v>0.80513286087531311</v>
      </c>
      <c r="L54" s="18">
        <v>3.2261633005310251</v>
      </c>
    </row>
    <row r="55" spans="1:16" x14ac:dyDescent="0.3">
      <c r="A55" s="6" t="s">
        <v>14</v>
      </c>
      <c r="B55" t="s">
        <v>37</v>
      </c>
      <c r="C55" t="s">
        <v>43</v>
      </c>
    </row>
    <row r="56" spans="1:16" x14ac:dyDescent="0.3">
      <c r="A56" s="7" t="s">
        <v>44</v>
      </c>
      <c r="B56" s="8"/>
      <c r="C56" s="8"/>
    </row>
    <row r="57" spans="1:16" x14ac:dyDescent="0.3">
      <c r="A57" s="7" t="s">
        <v>47</v>
      </c>
      <c r="B57" s="8">
        <v>75000</v>
      </c>
      <c r="C57" s="8">
        <v>580000</v>
      </c>
    </row>
    <row r="58" spans="1:16" x14ac:dyDescent="0.3">
      <c r="A58" s="7" t="s">
        <v>48</v>
      </c>
      <c r="B58" s="8">
        <v>76200</v>
      </c>
      <c r="C58" s="8">
        <v>595000</v>
      </c>
    </row>
    <row r="59" spans="1:16" x14ac:dyDescent="0.3">
      <c r="A59" s="7" t="s">
        <v>49</v>
      </c>
      <c r="B59" s="8">
        <v>75300</v>
      </c>
      <c r="C59" s="8">
        <v>575000</v>
      </c>
    </row>
    <row r="60" spans="1:16" x14ac:dyDescent="0.3">
      <c r="A60" s="7" t="s">
        <v>50</v>
      </c>
      <c r="B60" s="8">
        <v>76600</v>
      </c>
      <c r="C60" s="8">
        <v>599000</v>
      </c>
      <c r="H60" s="6" t="s">
        <v>14</v>
      </c>
      <c r="I60" t="s">
        <v>40</v>
      </c>
      <c r="K60" s="6" t="s">
        <v>38</v>
      </c>
      <c r="L60" s="6" t="s">
        <v>77</v>
      </c>
    </row>
    <row r="61" spans="1:16" x14ac:dyDescent="0.3">
      <c r="A61" s="7" t="s">
        <v>51</v>
      </c>
      <c r="B61" s="8">
        <v>76150</v>
      </c>
      <c r="C61" s="8">
        <v>593000</v>
      </c>
      <c r="H61" s="7" t="s">
        <v>47</v>
      </c>
      <c r="I61" s="8"/>
      <c r="K61" s="6" t="s">
        <v>14</v>
      </c>
      <c r="L61" t="s">
        <v>7</v>
      </c>
      <c r="M61" t="s">
        <v>8</v>
      </c>
      <c r="N61" t="s">
        <v>9</v>
      </c>
      <c r="O61" t="s">
        <v>15</v>
      </c>
      <c r="P61" t="s">
        <v>16</v>
      </c>
    </row>
    <row r="62" spans="1:16" x14ac:dyDescent="0.3">
      <c r="A62" s="7" t="s">
        <v>52</v>
      </c>
      <c r="B62" s="8">
        <v>77000</v>
      </c>
      <c r="C62" s="8">
        <v>603000</v>
      </c>
      <c r="H62" s="17" t="s">
        <v>9</v>
      </c>
      <c r="I62" s="8">
        <v>7.5</v>
      </c>
      <c r="K62" s="7" t="s">
        <v>44</v>
      </c>
      <c r="L62" s="8"/>
      <c r="M62" s="8"/>
      <c r="N62" s="8"/>
      <c r="O62" s="8"/>
      <c r="P62" s="8"/>
    </row>
    <row r="63" spans="1:16" x14ac:dyDescent="0.3">
      <c r="A63" s="7" t="s">
        <v>53</v>
      </c>
      <c r="B63" s="8">
        <v>77400</v>
      </c>
      <c r="C63" s="8">
        <v>609000</v>
      </c>
      <c r="H63" s="7" t="s">
        <v>48</v>
      </c>
      <c r="I63" s="8"/>
      <c r="K63" s="7" t="s">
        <v>45</v>
      </c>
      <c r="L63" s="8">
        <v>1.5896764623179782</v>
      </c>
      <c r="M63" s="8">
        <v>1.9787267574273379</v>
      </c>
      <c r="N63" s="8">
        <v>1.8323410502192954</v>
      </c>
      <c r="O63" s="8"/>
      <c r="P63" s="8">
        <v>5.400744269964612</v>
      </c>
    </row>
    <row r="64" spans="1:16" x14ac:dyDescent="0.3">
      <c r="A64" s="7" t="s">
        <v>54</v>
      </c>
      <c r="B64" s="8">
        <v>77900</v>
      </c>
      <c r="C64" s="8">
        <v>615000</v>
      </c>
      <c r="H64" s="17" t="s">
        <v>9</v>
      </c>
      <c r="I64" s="8">
        <v>7.5609756097560972</v>
      </c>
      <c r="K64" s="7" t="s">
        <v>46</v>
      </c>
      <c r="L64" s="8">
        <v>0.13599230346344143</v>
      </c>
      <c r="M64" s="8">
        <v>0.16115771274892746</v>
      </c>
      <c r="N64" s="8">
        <v>0.14724064925899788</v>
      </c>
      <c r="O64" s="8"/>
      <c r="P64" s="8">
        <v>0.4443906654713668</v>
      </c>
    </row>
    <row r="65" spans="1:16" x14ac:dyDescent="0.3">
      <c r="A65" s="7" t="s">
        <v>55</v>
      </c>
      <c r="B65" s="8">
        <v>78600</v>
      </c>
      <c r="C65" s="8">
        <v>622000</v>
      </c>
      <c r="H65" s="7" t="s">
        <v>49</v>
      </c>
      <c r="I65" s="8"/>
      <c r="K65" s="7" t="s">
        <v>16</v>
      </c>
      <c r="L65" s="8">
        <v>1.7256687657814196</v>
      </c>
      <c r="M65" s="8">
        <v>2.1398844701762654</v>
      </c>
      <c r="N65" s="8">
        <v>1.9795816994782933</v>
      </c>
      <c r="O65" s="8"/>
      <c r="P65" s="8">
        <v>5.8451349354359792</v>
      </c>
    </row>
    <row r="66" spans="1:16" x14ac:dyDescent="0.3">
      <c r="A66" s="7" t="s">
        <v>56</v>
      </c>
      <c r="B66" s="8">
        <v>79100</v>
      </c>
      <c r="C66" s="8">
        <v>627000</v>
      </c>
      <c r="H66" s="17" t="s">
        <v>9</v>
      </c>
      <c r="I66" s="8">
        <v>7.4876847290640391</v>
      </c>
    </row>
    <row r="67" spans="1:16" x14ac:dyDescent="0.3">
      <c r="A67" s="7" t="s">
        <v>57</v>
      </c>
      <c r="B67" s="8">
        <v>79700</v>
      </c>
      <c r="C67" s="8">
        <v>635000</v>
      </c>
      <c r="H67" s="7" t="s">
        <v>50</v>
      </c>
      <c r="I67" s="8"/>
    </row>
    <row r="68" spans="1:16" x14ac:dyDescent="0.3">
      <c r="A68" s="7" t="s">
        <v>58</v>
      </c>
      <c r="B68" s="8">
        <v>80300</v>
      </c>
      <c r="C68" s="8">
        <v>641000</v>
      </c>
      <c r="H68" s="17" t="s">
        <v>9</v>
      </c>
      <c r="I68" s="8">
        <v>7.5845410628019323</v>
      </c>
    </row>
    <row r="69" spans="1:16" x14ac:dyDescent="0.3">
      <c r="A69" s="7" t="s">
        <v>59</v>
      </c>
      <c r="B69" s="8">
        <v>81000</v>
      </c>
      <c r="C69" s="8">
        <v>647000</v>
      </c>
      <c r="H69" s="7" t="s">
        <v>51</v>
      </c>
      <c r="I69" s="8"/>
    </row>
    <row r="70" spans="1:16" x14ac:dyDescent="0.3">
      <c r="A70" s="7" t="s">
        <v>60</v>
      </c>
      <c r="B70" s="8">
        <v>81600</v>
      </c>
      <c r="C70" s="8">
        <v>652000</v>
      </c>
      <c r="H70" s="17" t="s">
        <v>9</v>
      </c>
      <c r="I70" s="8">
        <v>7.4757281553398061</v>
      </c>
    </row>
    <row r="71" spans="1:16" x14ac:dyDescent="0.3">
      <c r="A71" s="7" t="s">
        <v>61</v>
      </c>
      <c r="B71" s="8">
        <v>82300</v>
      </c>
      <c r="C71" s="8">
        <v>659000</v>
      </c>
      <c r="H71" s="7" t="s">
        <v>52</v>
      </c>
      <c r="I71" s="8"/>
      <c r="J71" s="8"/>
    </row>
    <row r="72" spans="1:16" x14ac:dyDescent="0.3">
      <c r="A72" s="7" t="s">
        <v>62</v>
      </c>
      <c r="B72" s="8">
        <v>82800</v>
      </c>
      <c r="C72" s="8">
        <v>666000</v>
      </c>
      <c r="H72" s="17" t="s">
        <v>9</v>
      </c>
      <c r="I72" s="8">
        <v>7.5779376498800959</v>
      </c>
    </row>
    <row r="73" spans="1:16" x14ac:dyDescent="0.3">
      <c r="A73" s="7" t="s">
        <v>63</v>
      </c>
      <c r="B73" s="8">
        <v>83500</v>
      </c>
      <c r="C73" s="8">
        <v>672000</v>
      </c>
      <c r="H73" s="7" t="s">
        <v>53</v>
      </c>
      <c r="I73" s="8"/>
    </row>
    <row r="74" spans="1:16" x14ac:dyDescent="0.3">
      <c r="A74" s="7" t="s">
        <v>64</v>
      </c>
      <c r="B74" s="8">
        <v>84100</v>
      </c>
      <c r="C74" s="8">
        <v>677000</v>
      </c>
      <c r="H74" s="17" t="s">
        <v>9</v>
      </c>
      <c r="I74" s="8">
        <v>7.6555023923444976</v>
      </c>
    </row>
    <row r="75" spans="1:16" x14ac:dyDescent="0.3">
      <c r="A75" s="7" t="s">
        <v>65</v>
      </c>
      <c r="B75" s="8">
        <v>84700</v>
      </c>
      <c r="C75" s="8">
        <v>684000</v>
      </c>
      <c r="H75" s="7" t="s">
        <v>54</v>
      </c>
      <c r="I75" s="8"/>
    </row>
    <row r="76" spans="1:16" x14ac:dyDescent="0.3">
      <c r="A76" s="7" t="s">
        <v>66</v>
      </c>
      <c r="B76" s="8">
        <v>85300</v>
      </c>
      <c r="C76" s="8">
        <v>689000</v>
      </c>
      <c r="H76" s="17" t="s">
        <v>9</v>
      </c>
      <c r="I76" s="8">
        <v>7.7142857142857144</v>
      </c>
    </row>
    <row r="77" spans="1:16" x14ac:dyDescent="0.3">
      <c r="A77" s="7" t="s">
        <v>67</v>
      </c>
      <c r="B77" s="8">
        <v>86000</v>
      </c>
      <c r="C77" s="8">
        <v>697000</v>
      </c>
      <c r="H77" s="7" t="s">
        <v>55</v>
      </c>
      <c r="I77" s="8"/>
    </row>
    <row r="78" spans="1:16" x14ac:dyDescent="0.3">
      <c r="A78" s="7" t="s">
        <v>68</v>
      </c>
      <c r="B78" s="8">
        <v>86600</v>
      </c>
      <c r="C78" s="8">
        <v>703000</v>
      </c>
      <c r="H78" s="17" t="s">
        <v>9</v>
      </c>
      <c r="I78" s="8">
        <v>7.783018867924528</v>
      </c>
    </row>
    <row r="79" spans="1:16" x14ac:dyDescent="0.3">
      <c r="A79" s="7" t="s">
        <v>69</v>
      </c>
      <c r="B79" s="8">
        <v>87300</v>
      </c>
      <c r="C79" s="8">
        <v>711000</v>
      </c>
      <c r="H79" s="7" t="s">
        <v>56</v>
      </c>
      <c r="I79" s="8"/>
    </row>
    <row r="80" spans="1:16" x14ac:dyDescent="0.3">
      <c r="A80" s="7" t="s">
        <v>70</v>
      </c>
      <c r="B80" s="8">
        <v>87900</v>
      </c>
      <c r="C80" s="8">
        <v>717000</v>
      </c>
      <c r="H80" s="17" t="s">
        <v>9</v>
      </c>
      <c r="I80" s="8">
        <v>7.84037558685446</v>
      </c>
    </row>
    <row r="81" spans="1:9" x14ac:dyDescent="0.3">
      <c r="A81" s="7" t="s">
        <v>71</v>
      </c>
      <c r="B81" s="8">
        <v>88600</v>
      </c>
      <c r="C81" s="8">
        <v>725000</v>
      </c>
      <c r="H81" s="7" t="s">
        <v>57</v>
      </c>
      <c r="I81" s="8"/>
    </row>
    <row r="82" spans="1:9" x14ac:dyDescent="0.3">
      <c r="A82" s="7" t="s">
        <v>72</v>
      </c>
      <c r="B82" s="8">
        <v>89200</v>
      </c>
      <c r="C82" s="8">
        <v>731000</v>
      </c>
      <c r="H82" s="17" t="s">
        <v>9</v>
      </c>
      <c r="I82" s="8">
        <v>7.9069767441860463</v>
      </c>
    </row>
    <row r="83" spans="1:9" x14ac:dyDescent="0.3">
      <c r="A83" s="7" t="s">
        <v>73</v>
      </c>
      <c r="B83" s="8">
        <v>89900</v>
      </c>
      <c r="C83" s="8">
        <v>739000</v>
      </c>
      <c r="H83" s="7" t="s">
        <v>58</v>
      </c>
      <c r="I83" s="8"/>
    </row>
    <row r="84" spans="1:9" x14ac:dyDescent="0.3">
      <c r="A84" s="7" t="s">
        <v>74</v>
      </c>
      <c r="B84" s="8">
        <v>90500</v>
      </c>
      <c r="C84" s="8">
        <v>744000</v>
      </c>
      <c r="H84" s="17" t="s">
        <v>9</v>
      </c>
      <c r="I84" s="8">
        <v>7.9629629629629628</v>
      </c>
    </row>
    <row r="85" spans="1:9" x14ac:dyDescent="0.3">
      <c r="A85" s="7" t="s">
        <v>75</v>
      </c>
      <c r="B85" s="8">
        <v>91200</v>
      </c>
      <c r="C85" s="8">
        <v>752000</v>
      </c>
      <c r="H85" s="7" t="s">
        <v>59</v>
      </c>
      <c r="I85" s="8"/>
    </row>
    <row r="86" spans="1:9" x14ac:dyDescent="0.3">
      <c r="A86" s="7" t="s">
        <v>76</v>
      </c>
      <c r="B86" s="8">
        <v>91800</v>
      </c>
      <c r="C86" s="8">
        <v>758000</v>
      </c>
      <c r="H86" s="17" t="s">
        <v>9</v>
      </c>
      <c r="I86" s="8">
        <v>7.9816513761467887</v>
      </c>
    </row>
    <row r="87" spans="1:9" x14ac:dyDescent="0.3">
      <c r="A87" s="7" t="s">
        <v>16</v>
      </c>
      <c r="B87" s="8">
        <v>2483550</v>
      </c>
      <c r="C87" s="8">
        <v>19917000</v>
      </c>
      <c r="H87" s="7" t="s">
        <v>60</v>
      </c>
      <c r="I87" s="8"/>
    </row>
    <row r="88" spans="1:9" x14ac:dyDescent="0.3">
      <c r="H88" s="17" t="s">
        <v>9</v>
      </c>
      <c r="I88" s="8">
        <v>7.9545454545454541</v>
      </c>
    </row>
    <row r="89" spans="1:9" x14ac:dyDescent="0.3">
      <c r="H89" s="7" t="s">
        <v>61</v>
      </c>
      <c r="I89" s="8"/>
    </row>
    <row r="90" spans="1:9" x14ac:dyDescent="0.3">
      <c r="H90" s="17" t="s">
        <v>9</v>
      </c>
      <c r="I90" s="8">
        <v>7.9729729729729728</v>
      </c>
    </row>
    <row r="91" spans="1:9" x14ac:dyDescent="0.3">
      <c r="H91" s="7" t="s">
        <v>62</v>
      </c>
      <c r="I91" s="8"/>
    </row>
    <row r="92" spans="1:9" x14ac:dyDescent="0.3">
      <c r="H92" s="17" t="s">
        <v>9</v>
      </c>
      <c r="I92" s="8">
        <v>8.0269058295964122</v>
      </c>
    </row>
    <row r="93" spans="1:9" x14ac:dyDescent="0.3">
      <c r="H93" s="7" t="s">
        <v>63</v>
      </c>
      <c r="I93" s="8"/>
    </row>
    <row r="94" spans="1:9" x14ac:dyDescent="0.3">
      <c r="H94" s="17" t="s">
        <v>9</v>
      </c>
      <c r="I94" s="8">
        <v>8</v>
      </c>
    </row>
    <row r="95" spans="1:9" x14ac:dyDescent="0.3">
      <c r="H95" s="7" t="s">
        <v>64</v>
      </c>
      <c r="I95" s="8"/>
    </row>
    <row r="96" spans="1:9" x14ac:dyDescent="0.3">
      <c r="H96" s="17" t="s">
        <v>9</v>
      </c>
      <c r="I96" s="8">
        <v>8.0176211453744486</v>
      </c>
    </row>
    <row r="97" spans="8:9" x14ac:dyDescent="0.3">
      <c r="H97" s="7" t="s">
        <v>65</v>
      </c>
      <c r="I97" s="8"/>
    </row>
    <row r="98" spans="8:9" x14ac:dyDescent="0.3">
      <c r="H98" s="17" t="s">
        <v>9</v>
      </c>
      <c r="I98" s="8">
        <v>8.0701754385964914</v>
      </c>
    </row>
    <row r="99" spans="8:9" x14ac:dyDescent="0.3">
      <c r="H99" s="7" t="s">
        <v>66</v>
      </c>
      <c r="I99" s="8"/>
    </row>
    <row r="100" spans="8:9" x14ac:dyDescent="0.3">
      <c r="H100" s="17" t="s">
        <v>9</v>
      </c>
      <c r="I100" s="8">
        <v>8.0434782608695645</v>
      </c>
    </row>
    <row r="101" spans="8:9" x14ac:dyDescent="0.3">
      <c r="H101" s="7" t="s">
        <v>67</v>
      </c>
      <c r="I101" s="8"/>
    </row>
    <row r="102" spans="8:9" x14ac:dyDescent="0.3">
      <c r="H102" s="17" t="s">
        <v>9</v>
      </c>
      <c r="I102" s="8">
        <v>8.0603448275862064</v>
      </c>
    </row>
    <row r="103" spans="8:9" x14ac:dyDescent="0.3">
      <c r="H103" s="7" t="s">
        <v>68</v>
      </c>
      <c r="I103" s="8"/>
    </row>
    <row r="104" spans="8:9" x14ac:dyDescent="0.3">
      <c r="H104" s="17" t="s">
        <v>9</v>
      </c>
      <c r="I104" s="8">
        <v>8.0769230769230766</v>
      </c>
    </row>
    <row r="105" spans="8:9" x14ac:dyDescent="0.3">
      <c r="H105" s="7" t="s">
        <v>69</v>
      </c>
      <c r="I105" s="8"/>
    </row>
    <row r="106" spans="8:9" x14ac:dyDescent="0.3">
      <c r="H106" s="17" t="s">
        <v>9</v>
      </c>
      <c r="I106" s="8">
        <v>8.0932203389830502</v>
      </c>
    </row>
    <row r="107" spans="8:9" x14ac:dyDescent="0.3">
      <c r="H107" s="7" t="s">
        <v>70</v>
      </c>
      <c r="I107" s="8"/>
    </row>
    <row r="108" spans="8:9" x14ac:dyDescent="0.3">
      <c r="H108" s="17" t="s">
        <v>9</v>
      </c>
      <c r="I108" s="8">
        <v>8.1092436974789912</v>
      </c>
    </row>
    <row r="109" spans="8:9" x14ac:dyDescent="0.3">
      <c r="H109" s="7" t="s">
        <v>71</v>
      </c>
      <c r="I109" s="8"/>
    </row>
    <row r="110" spans="8:9" x14ac:dyDescent="0.3">
      <c r="H110" s="17" t="s">
        <v>9</v>
      </c>
      <c r="I110" s="8">
        <v>8.125</v>
      </c>
    </row>
    <row r="111" spans="8:9" x14ac:dyDescent="0.3">
      <c r="H111" s="7" t="s">
        <v>72</v>
      </c>
      <c r="I111" s="8"/>
    </row>
    <row r="112" spans="8:9" x14ac:dyDescent="0.3">
      <c r="H112" s="17" t="s">
        <v>9</v>
      </c>
      <c r="I112" s="8">
        <v>8.1404958677685944</v>
      </c>
    </row>
    <row r="113" spans="8:9" x14ac:dyDescent="0.3">
      <c r="H113" s="7" t="s">
        <v>73</v>
      </c>
      <c r="I113" s="8"/>
    </row>
    <row r="114" spans="8:9" x14ac:dyDescent="0.3">
      <c r="H114" s="17" t="s">
        <v>9</v>
      </c>
      <c r="I114" s="8">
        <v>8.1557377049180335</v>
      </c>
    </row>
    <row r="115" spans="8:9" x14ac:dyDescent="0.3">
      <c r="H115" s="7" t="s">
        <v>74</v>
      </c>
      <c r="I115" s="8"/>
    </row>
    <row r="116" spans="8:9" x14ac:dyDescent="0.3">
      <c r="H116" s="17" t="s">
        <v>9</v>
      </c>
      <c r="I116" s="8">
        <v>8.1300813008130088</v>
      </c>
    </row>
    <row r="117" spans="8:9" x14ac:dyDescent="0.3">
      <c r="H117" s="7" t="s">
        <v>75</v>
      </c>
      <c r="I117" s="8"/>
    </row>
    <row r="118" spans="8:9" x14ac:dyDescent="0.3">
      <c r="H118" s="17" t="s">
        <v>9</v>
      </c>
      <c r="I118" s="8">
        <v>8.1451612903225801</v>
      </c>
    </row>
    <row r="119" spans="8:9" x14ac:dyDescent="0.3">
      <c r="H119" s="7" t="s">
        <v>76</v>
      </c>
      <c r="I119" s="8"/>
    </row>
    <row r="120" spans="8:9" x14ac:dyDescent="0.3">
      <c r="H120" s="17" t="s">
        <v>9</v>
      </c>
      <c r="I120" s="8">
        <v>8.16</v>
      </c>
    </row>
    <row r="121" spans="8:9" x14ac:dyDescent="0.3">
      <c r="H121" s="7" t="s">
        <v>16</v>
      </c>
      <c r="I121" s="8">
        <v>237.31354805829591</v>
      </c>
    </row>
  </sheetData>
  <pageMargins left="0.7" right="0.7" top="0.75" bottom="0.75" header="0.3" footer="0.3"/>
  <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852A3-6535-4759-BF8B-4AABC5049883}">
  <sheetPr>
    <tabColor theme="4"/>
  </sheetPr>
  <dimension ref="A1:N16"/>
  <sheetViews>
    <sheetView topLeftCell="C1" workbookViewId="0">
      <selection activeCell="E14" sqref="E14"/>
    </sheetView>
  </sheetViews>
  <sheetFormatPr baseColWidth="10" defaultRowHeight="14.4" x14ac:dyDescent="0.3"/>
  <cols>
    <col min="1" max="1" width="20.44140625" bestFit="1" customWidth="1"/>
    <col min="2" max="2" width="11.88671875" customWidth="1"/>
    <col min="4" max="4" width="19.5546875" bestFit="1" customWidth="1"/>
    <col min="5" max="5" width="20.21875" bestFit="1" customWidth="1"/>
    <col min="6" max="6" width="13.5546875" bestFit="1" customWidth="1"/>
    <col min="7" max="7" width="20.109375" bestFit="1" customWidth="1"/>
    <col min="8" max="10" width="20.109375" customWidth="1"/>
    <col min="11" max="11" width="21.77734375" bestFit="1" customWidth="1"/>
    <col min="12" max="12" width="12" bestFit="1" customWidth="1"/>
    <col min="13" max="13" width="19.21875" bestFit="1" customWidth="1"/>
  </cols>
  <sheetData>
    <row r="1" spans="1:14" x14ac:dyDescent="0.3">
      <c r="A1" s="9"/>
      <c r="B1" s="10"/>
      <c r="D1" s="9" t="s">
        <v>21</v>
      </c>
      <c r="E1" s="10">
        <f>AVERAGE(Tableau1[CPA (cout par click)])</f>
        <v>73.585388485522884</v>
      </c>
      <c r="G1" s="9"/>
      <c r="H1" s="9"/>
      <c r="I1" s="9"/>
      <c r="J1" s="9"/>
      <c r="K1" s="10"/>
      <c r="M1" s="9"/>
      <c r="N1" s="10"/>
    </row>
    <row r="2" spans="1:14" x14ac:dyDescent="0.3">
      <c r="A2" s="9"/>
      <c r="B2" s="10"/>
      <c r="D2" s="9" t="s">
        <v>19</v>
      </c>
      <c r="E2" s="10">
        <f>AVERAGE(Tableau!I2:I89)</f>
        <v>73.52208755130529</v>
      </c>
      <c r="G2" s="9"/>
      <c r="H2" s="9"/>
      <c r="I2" s="9"/>
      <c r="J2" s="9"/>
      <c r="K2" s="10"/>
      <c r="M2" s="9"/>
      <c r="N2" s="10"/>
    </row>
    <row r="3" spans="1:14" x14ac:dyDescent="0.3">
      <c r="A3" s="9"/>
      <c r="B3" s="10"/>
      <c r="D3" s="9" t="s">
        <v>22</v>
      </c>
      <c r="E3" s="10">
        <f>AVERAGE(Tableau!I3:I90)</f>
        <v>73.599862725729963</v>
      </c>
      <c r="G3" s="9"/>
      <c r="H3" s="9"/>
      <c r="I3" s="9"/>
      <c r="J3" s="9"/>
      <c r="K3" s="10"/>
      <c r="M3" s="9"/>
      <c r="N3" s="10"/>
    </row>
    <row r="4" spans="1:14" x14ac:dyDescent="0.3">
      <c r="A4" s="9"/>
      <c r="B4" s="10"/>
      <c r="D4" s="9" t="s">
        <v>23</v>
      </c>
      <c r="E4" s="10">
        <f>AVERAGE(Tableau!I4:I91)</f>
        <v>73.616369536961543</v>
      </c>
      <c r="G4" s="9"/>
      <c r="H4" s="9"/>
      <c r="I4" s="9"/>
      <c r="J4" s="9"/>
      <c r="K4" s="10"/>
      <c r="M4" s="9"/>
      <c r="N4" s="10"/>
    </row>
    <row r="5" spans="1:14" x14ac:dyDescent="0.3">
      <c r="E5" s="10"/>
    </row>
    <row r="6" spans="1:14" x14ac:dyDescent="0.3">
      <c r="E6" s="10"/>
    </row>
    <row r="7" spans="1:14" x14ac:dyDescent="0.3">
      <c r="D7" s="15" t="s">
        <v>24</v>
      </c>
      <c r="E7" s="15" t="s">
        <v>25</v>
      </c>
      <c r="F7" s="15" t="s">
        <v>26</v>
      </c>
      <c r="G7" s="15" t="s">
        <v>27</v>
      </c>
      <c r="H7" s="15" t="s">
        <v>31</v>
      </c>
      <c r="I7" s="15" t="s">
        <v>32</v>
      </c>
      <c r="J7" s="15" t="s">
        <v>34</v>
      </c>
      <c r="K7" s="15" t="s">
        <v>30</v>
      </c>
      <c r="L7" s="15" t="s">
        <v>28</v>
      </c>
      <c r="M7" s="15" t="s">
        <v>29</v>
      </c>
    </row>
    <row r="8" spans="1:14" x14ac:dyDescent="0.3">
      <c r="D8" s="9" t="s">
        <v>18</v>
      </c>
      <c r="E8" s="13">
        <f>SUM(Tableau!C2:C89)</f>
        <v>958250</v>
      </c>
      <c r="F8" s="12">
        <f>SUM(Tableau!D2:D89)</f>
        <v>33050</v>
      </c>
      <c r="G8" s="12">
        <f>SUM(Tableau!F2:F89)</f>
        <v>2155</v>
      </c>
      <c r="H8" s="12">
        <f>SUM(Tableau!E2:E89)</f>
        <v>2421550</v>
      </c>
      <c r="I8" s="12">
        <f>SUM(Tableau!F2:F89)</f>
        <v>2155</v>
      </c>
      <c r="J8" s="12">
        <f>SUM(Tableau!G2:G89)</f>
        <v>19391000</v>
      </c>
      <c r="K8" s="12">
        <f>(F8/E8)*100</f>
        <v>3.4489955648317241</v>
      </c>
      <c r="L8" s="12">
        <f>H8/G8</f>
        <v>1123.6890951276102</v>
      </c>
      <c r="M8" s="12">
        <f>'Analyse '!J8/'Analyse '!H8</f>
        <v>8.0076810307447701</v>
      </c>
    </row>
    <row r="9" spans="1:14" x14ac:dyDescent="0.3">
      <c r="D9" s="9" t="s">
        <v>20</v>
      </c>
      <c r="E9" s="13">
        <f>SUM(Tableau!C3:C90)</f>
        <v>955800</v>
      </c>
      <c r="F9" s="12">
        <f>SUM(Tableau!D3:D90)</f>
        <v>33175</v>
      </c>
      <c r="G9" s="12">
        <f>SUM(Tableau!F3:F90)</f>
        <v>2176</v>
      </c>
      <c r="H9" s="12">
        <f>SUM(Tableau!E15:E90)</f>
        <v>2130500</v>
      </c>
      <c r="I9" s="12">
        <f>SUM(Tableau!F15:F90)</f>
        <v>1940</v>
      </c>
      <c r="J9" s="12">
        <f>SUM(Tableau!G3:G90)</f>
        <v>19533000</v>
      </c>
      <c r="K9" s="12">
        <f t="shared" ref="K8:K9" si="0">(F9/E9)*100</f>
        <v>3.4709144172421005</v>
      </c>
      <c r="L9" s="12">
        <f t="shared" ref="L9:L10" si="1">H9/G9</f>
        <v>979.09007352941171</v>
      </c>
      <c r="M9" s="12">
        <f>'Analyse '!J9/'Analyse '!H9</f>
        <v>9.1682703590706414</v>
      </c>
    </row>
    <row r="10" spans="1:14" x14ac:dyDescent="0.3">
      <c r="D10" s="9" t="s">
        <v>36</v>
      </c>
      <c r="E10" s="13">
        <f>SUM(Tableau!C4:C91)</f>
        <v>959350</v>
      </c>
      <c r="F10" s="12">
        <f>SUM(Tableau!D4:D91)</f>
        <v>33102</v>
      </c>
      <c r="G10" s="12">
        <f>SUM(Tableau!F4:F91)</f>
        <v>2175</v>
      </c>
      <c r="H10" s="12">
        <f>SUM(Tableau!E16:E91)</f>
        <v>2124900</v>
      </c>
      <c r="I10" s="12">
        <f>SUM(Tableau!F13:F91)</f>
        <v>1998</v>
      </c>
      <c r="J10" s="12">
        <f>SUM(Tableau!G4:G91)</f>
        <v>19487000</v>
      </c>
      <c r="K10" s="12">
        <f>(F10/E10)*100</f>
        <v>3.4504612498045555</v>
      </c>
      <c r="L10" s="12">
        <f t="shared" si="1"/>
        <v>976.9655172413793</v>
      </c>
      <c r="M10" s="12">
        <f>'Analyse '!J10/'Analyse '!H10</f>
        <v>9.1707845075062355</v>
      </c>
    </row>
    <row r="11" spans="1:14" x14ac:dyDescent="0.3">
      <c r="D11" s="11" t="s">
        <v>35</v>
      </c>
      <c r="E11" s="14">
        <f>SUM(E8:E10)</f>
        <v>2873400</v>
      </c>
      <c r="F11" s="14">
        <f>SUM(F8:F10)</f>
        <v>99327</v>
      </c>
      <c r="G11" s="14">
        <f>SUM(G8:G10)</f>
        <v>6506</v>
      </c>
      <c r="H11" s="14">
        <f>SUM(H8:H10)</f>
        <v>6676950</v>
      </c>
      <c r="I11" s="14">
        <f>SUM(I8:I10)</f>
        <v>6093</v>
      </c>
      <c r="J11" s="14">
        <f>SUM(J8:J10)</f>
        <v>58411000</v>
      </c>
      <c r="K11" s="14">
        <f>(F11/E11)*100</f>
        <v>3.456775944873669</v>
      </c>
      <c r="L11" s="14">
        <f>SUM(L8:L10)</f>
        <v>3079.7446858984013</v>
      </c>
      <c r="M11" s="14">
        <f>J11/H11</f>
        <v>8.7481559694171747</v>
      </c>
    </row>
    <row r="12" spans="1:14" x14ac:dyDescent="0.3">
      <c r="H12" s="18">
        <f>AVERAGE(H8:H10)</f>
        <v>2225650</v>
      </c>
    </row>
    <row r="14" spans="1:14" x14ac:dyDescent="0.3">
      <c r="D14" t="s">
        <v>78</v>
      </c>
      <c r="E14">
        <f>AVERAGE(Tableau!L2:L91)</f>
        <v>7.9614692849955162</v>
      </c>
    </row>
    <row r="15" spans="1:14" x14ac:dyDescent="0.3">
      <c r="D15" t="s">
        <v>84</v>
      </c>
      <c r="E15">
        <v>27595</v>
      </c>
    </row>
    <row r="16" spans="1:14" x14ac:dyDescent="0.3">
      <c r="D16" t="s">
        <v>85</v>
      </c>
      <c r="E16">
        <v>1147.2791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D7079-C61E-4239-8E46-33D7491F6322}">
  <sheetPr>
    <tabColor rgb="FFFF0000"/>
  </sheetPr>
  <dimension ref="B6:J80"/>
  <sheetViews>
    <sheetView tabSelected="1" topLeftCell="A25" workbookViewId="0">
      <selection activeCell="J48" sqref="J48"/>
    </sheetView>
  </sheetViews>
  <sheetFormatPr baseColWidth="10" defaultRowHeight="14.4" x14ac:dyDescent="0.3"/>
  <cols>
    <col min="2" max="2" width="20.77734375" customWidth="1"/>
    <col min="3" max="3" width="14.77734375" bestFit="1" customWidth="1"/>
    <col min="10" max="10" width="19.5546875" bestFit="1" customWidth="1"/>
  </cols>
  <sheetData>
    <row r="6" spans="2:3" ht="15.6" x14ac:dyDescent="0.3">
      <c r="B6" s="19" t="s">
        <v>83</v>
      </c>
      <c r="C6" s="21">
        <f>GETPIVOTDATA("ROAS (rentabilité des depenses)",TCD!$H$43)</f>
        <v>716.53223564959649</v>
      </c>
    </row>
    <row r="7" spans="2:3" ht="15.6" x14ac:dyDescent="0.3">
      <c r="B7" s="20" t="s">
        <v>82</v>
      </c>
      <c r="C7" s="21">
        <f>GETPIVOTDATA("CPA (cout par conversion)",TCD!$H$26)</f>
        <v>103255.1188317855</v>
      </c>
    </row>
    <row r="8" spans="2:3" ht="15.6" x14ac:dyDescent="0.3">
      <c r="B8" s="20" t="s">
        <v>81</v>
      </c>
      <c r="C8" s="21">
        <f>GETPIVOTDATA("CTR (taux de click par vue)",TCD!$A$18)</f>
        <v>3.2261633005310255</v>
      </c>
    </row>
    <row r="9" spans="2:3" ht="16.2" customHeight="1" x14ac:dyDescent="0.3">
      <c r="B9" s="19" t="s">
        <v>79</v>
      </c>
      <c r="C9" s="21">
        <f>GETPIVOTDATA("Conversions",TCD!$H$35)</f>
        <v>184</v>
      </c>
    </row>
    <row r="10" spans="2:3" ht="15.6" x14ac:dyDescent="0.3">
      <c r="B10" s="20" t="s">
        <v>80</v>
      </c>
      <c r="C10" s="21">
        <f>GETPIVOTDATA("Revenus (FCFA)",TCD!$H$18)</f>
        <v>19917000</v>
      </c>
    </row>
    <row r="48" spans="10:10" x14ac:dyDescent="0.3">
      <c r="J48" s="6" t="s">
        <v>14</v>
      </c>
    </row>
    <row r="49" spans="10:10" x14ac:dyDescent="0.3">
      <c r="J49" s="7" t="s">
        <v>44</v>
      </c>
    </row>
    <row r="50" spans="10:10" x14ac:dyDescent="0.3">
      <c r="J50" s="7" t="s">
        <v>47</v>
      </c>
    </row>
    <row r="51" spans="10:10" x14ac:dyDescent="0.3">
      <c r="J51" s="7" t="s">
        <v>48</v>
      </c>
    </row>
    <row r="52" spans="10:10" x14ac:dyDescent="0.3">
      <c r="J52" s="7" t="s">
        <v>49</v>
      </c>
    </row>
    <row r="53" spans="10:10" x14ac:dyDescent="0.3">
      <c r="J53" s="7" t="s">
        <v>50</v>
      </c>
    </row>
    <row r="54" spans="10:10" x14ac:dyDescent="0.3">
      <c r="J54" s="7" t="s">
        <v>51</v>
      </c>
    </row>
    <row r="55" spans="10:10" x14ac:dyDescent="0.3">
      <c r="J55" s="7" t="s">
        <v>52</v>
      </c>
    </row>
    <row r="56" spans="10:10" x14ac:dyDescent="0.3">
      <c r="J56" s="7" t="s">
        <v>53</v>
      </c>
    </row>
    <row r="57" spans="10:10" x14ac:dyDescent="0.3">
      <c r="J57" s="7" t="s">
        <v>54</v>
      </c>
    </row>
    <row r="58" spans="10:10" x14ac:dyDescent="0.3">
      <c r="J58" s="7" t="s">
        <v>55</v>
      </c>
    </row>
    <row r="59" spans="10:10" x14ac:dyDescent="0.3">
      <c r="J59" s="7" t="s">
        <v>56</v>
      </c>
    </row>
    <row r="60" spans="10:10" x14ac:dyDescent="0.3">
      <c r="J60" s="7" t="s">
        <v>57</v>
      </c>
    </row>
    <row r="61" spans="10:10" x14ac:dyDescent="0.3">
      <c r="J61" s="7" t="s">
        <v>58</v>
      </c>
    </row>
    <row r="62" spans="10:10" x14ac:dyDescent="0.3">
      <c r="J62" s="7" t="s">
        <v>59</v>
      </c>
    </row>
    <row r="63" spans="10:10" x14ac:dyDescent="0.3">
      <c r="J63" s="7" t="s">
        <v>60</v>
      </c>
    </row>
    <row r="64" spans="10:10" x14ac:dyDescent="0.3">
      <c r="J64" s="7" t="s">
        <v>61</v>
      </c>
    </row>
    <row r="65" spans="10:10" x14ac:dyDescent="0.3">
      <c r="J65" s="7" t="s">
        <v>62</v>
      </c>
    </row>
    <row r="66" spans="10:10" x14ac:dyDescent="0.3">
      <c r="J66" s="7" t="s">
        <v>63</v>
      </c>
    </row>
    <row r="67" spans="10:10" x14ac:dyDescent="0.3">
      <c r="J67" s="7" t="s">
        <v>64</v>
      </c>
    </row>
    <row r="68" spans="10:10" x14ac:dyDescent="0.3">
      <c r="J68" s="7" t="s">
        <v>65</v>
      </c>
    </row>
    <row r="69" spans="10:10" x14ac:dyDescent="0.3">
      <c r="J69" s="7" t="s">
        <v>66</v>
      </c>
    </row>
    <row r="70" spans="10:10" x14ac:dyDescent="0.3">
      <c r="J70" s="7" t="s">
        <v>67</v>
      </c>
    </row>
    <row r="71" spans="10:10" x14ac:dyDescent="0.3">
      <c r="J71" s="7" t="s">
        <v>68</v>
      </c>
    </row>
    <row r="72" spans="10:10" x14ac:dyDescent="0.3">
      <c r="J72" s="7" t="s">
        <v>69</v>
      </c>
    </row>
    <row r="73" spans="10:10" x14ac:dyDescent="0.3">
      <c r="J73" s="7" t="s">
        <v>70</v>
      </c>
    </row>
    <row r="74" spans="10:10" x14ac:dyDescent="0.3">
      <c r="J74" s="7" t="s">
        <v>71</v>
      </c>
    </row>
    <row r="75" spans="10:10" x14ac:dyDescent="0.3">
      <c r="J75" s="7" t="s">
        <v>72</v>
      </c>
    </row>
    <row r="76" spans="10:10" x14ac:dyDescent="0.3">
      <c r="J76" s="7" t="s">
        <v>73</v>
      </c>
    </row>
    <row r="77" spans="10:10" x14ac:dyDescent="0.3">
      <c r="J77" s="7" t="s">
        <v>74</v>
      </c>
    </row>
    <row r="78" spans="10:10" x14ac:dyDescent="0.3">
      <c r="J78" s="7" t="s">
        <v>75</v>
      </c>
    </row>
    <row r="79" spans="10:10" x14ac:dyDescent="0.3">
      <c r="J79" s="7" t="s">
        <v>76</v>
      </c>
    </row>
    <row r="80" spans="10:10" x14ac:dyDescent="0.3">
      <c r="J80" s="7" t="s">
        <v>16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8B6254-8B92-413C-BBEE-C6B6EBE0A2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Tableau</vt:lpstr>
      <vt:lpstr>TCD</vt:lpstr>
      <vt:lpstr>Analyse </vt:lpstr>
      <vt:lpstr>Graphique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Gneto Leandre</dc:creator>
  <cp:lastModifiedBy>Gneto Leandre</cp:lastModifiedBy>
  <dcterms:created xsi:type="dcterms:W3CDTF">2026-02-19T23:41:40Z</dcterms:created>
  <dcterms:modified xsi:type="dcterms:W3CDTF">2026-03-06T05:19:03Z</dcterms:modified>
</cp:coreProperties>
</file>